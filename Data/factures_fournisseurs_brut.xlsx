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Madi\OneDrive\Bureau\projet google\"/>
    </mc:Choice>
  </mc:AlternateContent>
  <xr:revisionPtr revIDLastSave="0" documentId="13_ncr:1_{CB7E5DB6-2F46-4424-937C-8E683C369DD1}" xr6:coauthVersionLast="47" xr6:coauthVersionMax="47" xr10:uidLastSave="{00000000-0000-0000-0000-000000000000}"/>
  <bookViews>
    <workbookView xWindow="-120" yWindow="-120" windowWidth="29040" windowHeight="16440" tabRatio="500" xr2:uid="{00000000-000D-0000-FFFF-FFFF00000000}"/>
  </bookViews>
  <sheets>
    <sheet name="Sheet1 (2)" sheetId="3" r:id="rId1"/>
    <sheet name="Final sheet" sheetId="1" r:id="rId2"/>
    <sheet name="Sheet2" sheetId="4" r:id="rId3"/>
  </sheets>
  <definedNames>
    <definedName name="Slicer_Ingredient_ajusté">#N/A</definedName>
  </definedNames>
  <calcPr calcId="191029" iterateDelta="1E-4"/>
  <pivotCaches>
    <pivotCache cacheId="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4" i="3"/>
  <c r="J45" i="3"/>
  <c r="J46" i="3"/>
  <c r="J47" i="3"/>
  <c r="J48" i="3"/>
  <c r="J49" i="3"/>
  <c r="J50" i="3"/>
  <c r="J51" i="3"/>
  <c r="J52" i="3"/>
  <c r="J53" i="3"/>
  <c r="J54" i="3"/>
  <c r="J55" i="3"/>
  <c r="J56" i="3"/>
  <c r="J57" i="3"/>
  <c r="J58" i="3"/>
  <c r="J59" i="3"/>
  <c r="J60" i="3"/>
  <c r="J61" i="3"/>
  <c r="J62" i="3"/>
  <c r="J63" i="3"/>
  <c r="J64" i="3"/>
  <c r="J65" i="3"/>
  <c r="J67" i="3"/>
  <c r="J68" i="3"/>
  <c r="J69" i="3"/>
  <c r="J70" i="3"/>
  <c r="J71" i="3"/>
  <c r="J72" i="3"/>
  <c r="J73" i="3"/>
  <c r="J74" i="3"/>
  <c r="J75" i="3"/>
  <c r="J77" i="3"/>
  <c r="J78" i="3"/>
  <c r="J79" i="3"/>
  <c r="J80" i="3"/>
  <c r="J81" i="3"/>
  <c r="J82" i="3"/>
  <c r="J83" i="3"/>
  <c r="J84" i="3"/>
  <c r="J85" i="3"/>
  <c r="J86" i="3"/>
  <c r="J87" i="3"/>
  <c r="J88" i="3"/>
  <c r="J89" i="3"/>
  <c r="J90" i="3"/>
  <c r="J91" i="3"/>
  <c r="J92" i="3"/>
  <c r="J93" i="3"/>
  <c r="J94" i="3"/>
  <c r="J95"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5" i="3"/>
  <c r="J146" i="3"/>
  <c r="J147" i="3"/>
  <c r="J148" i="3"/>
  <c r="J149" i="3"/>
  <c r="J150" i="3"/>
  <c r="J151" i="3"/>
  <c r="J152" i="3"/>
  <c r="J153" i="3"/>
  <c r="J154" i="3"/>
  <c r="J155"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2" i="3"/>
  <c r="J233" i="3"/>
  <c r="J234" i="3"/>
  <c r="J235" i="3"/>
  <c r="J236" i="3"/>
  <c r="J237" i="3"/>
  <c r="J238" i="3"/>
  <c r="J239" i="3"/>
  <c r="J240" i="3"/>
  <c r="J241" i="3"/>
  <c r="J242" i="3"/>
  <c r="J243"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2" i="3"/>
  <c r="J293" i="3"/>
  <c r="J294" i="3"/>
  <c r="J295" i="3"/>
  <c r="J296" i="3"/>
  <c r="J297" i="3"/>
  <c r="J298" i="3"/>
  <c r="J299" i="3"/>
  <c r="J300" i="3"/>
  <c r="J301" i="3"/>
  <c r="J302" i="3"/>
  <c r="J303" i="3"/>
  <c r="J304" i="3"/>
  <c r="J305" i="3"/>
  <c r="J306" i="3"/>
  <c r="J308" i="3"/>
  <c r="J309" i="3"/>
  <c r="J310" i="3"/>
  <c r="J311" i="3"/>
  <c r="J312" i="3"/>
  <c r="J313" i="3"/>
  <c r="J314" i="3"/>
  <c r="J315" i="3"/>
  <c r="J316" i="3"/>
  <c r="J317" i="3"/>
  <c r="J318" i="3"/>
  <c r="J319"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2"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6" i="3"/>
  <c r="J677" i="3"/>
  <c r="J678" i="3"/>
  <c r="J679" i="3"/>
  <c r="J680" i="3"/>
  <c r="J681" i="3"/>
  <c r="J682" i="3"/>
  <c r="J683" i="3"/>
  <c r="J684" i="3"/>
  <c r="J685"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7" i="3"/>
  <c r="J748" i="3"/>
  <c r="J749" i="3"/>
  <c r="J750" i="3"/>
  <c r="J751" i="3"/>
  <c r="J752" i="3"/>
  <c r="J753" i="3"/>
  <c r="J754" i="3"/>
  <c r="J755" i="3"/>
  <c r="J756" i="3"/>
  <c r="J758" i="3"/>
  <c r="J759" i="3"/>
  <c r="J760" i="3"/>
  <c r="J761" i="3"/>
  <c r="J762" i="3"/>
  <c r="J763" i="3"/>
  <c r="J764" i="3"/>
  <c r="J765" i="3"/>
  <c r="J766" i="3"/>
  <c r="J767" i="3"/>
  <c r="J768" i="3"/>
  <c r="J769" i="3"/>
  <c r="J770" i="3"/>
  <c r="J771" i="3"/>
  <c r="J772" i="3"/>
  <c r="J773" i="3"/>
  <c r="J774" i="3"/>
  <c r="J775"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8" i="3"/>
  <c r="J849" i="3"/>
  <c r="J850" i="3"/>
  <c r="J851" i="3"/>
  <c r="J852" i="3"/>
  <c r="J853" i="3"/>
  <c r="J854" i="3"/>
  <c r="J855" i="3"/>
  <c r="J856" i="3"/>
  <c r="J857" i="3"/>
  <c r="J858" i="3"/>
  <c r="J859" i="3"/>
  <c r="J860" i="3"/>
  <c r="J861" i="3"/>
  <c r="J862" i="3"/>
  <c r="J863" i="3"/>
  <c r="J864" i="3"/>
  <c r="J865" i="3"/>
  <c r="J866" i="3"/>
  <c r="J868" i="3"/>
  <c r="J869" i="3"/>
  <c r="J870" i="3"/>
  <c r="J871" i="3"/>
  <c r="J872" i="3"/>
  <c r="J873" i="3"/>
  <c r="J874" i="3"/>
  <c r="J875" i="3"/>
  <c r="J876" i="3"/>
  <c r="J877" i="3"/>
  <c r="J878" i="3"/>
  <c r="J879" i="3"/>
  <c r="J880" i="3"/>
  <c r="J881" i="3"/>
  <c r="J882" i="3"/>
  <c r="J883" i="3"/>
  <c r="J885" i="3"/>
  <c r="J886" i="3"/>
  <c r="J888" i="3"/>
  <c r="J889" i="3"/>
  <c r="J890" i="3"/>
  <c r="J891" i="3"/>
  <c r="J892" i="3"/>
  <c r="J893"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9" i="3"/>
  <c r="J930" i="3"/>
  <c r="J931" i="3"/>
  <c r="J932" i="3"/>
  <c r="J933" i="3"/>
  <c r="J935" i="3"/>
  <c r="J936" i="3"/>
  <c r="J937" i="3"/>
  <c r="J938" i="3"/>
  <c r="J939" i="3"/>
  <c r="J940" i="3"/>
  <c r="J941" i="3"/>
  <c r="J942" i="3"/>
  <c r="J943" i="3"/>
  <c r="J944" i="3"/>
  <c r="J945" i="3"/>
  <c r="J946" i="3"/>
  <c r="J947" i="3"/>
  <c r="J948" i="3"/>
  <c r="J949" i="3"/>
  <c r="J950" i="3"/>
  <c r="J951"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7" i="3"/>
  <c r="J1158" i="3"/>
  <c r="J1159" i="3"/>
  <c r="J1160" i="3"/>
  <c r="J1161" i="3"/>
  <c r="J1162" i="3"/>
  <c r="J1163" i="3"/>
  <c r="J1164" i="3"/>
  <c r="J1165" i="3"/>
  <c r="J1166" i="3"/>
  <c r="J1167" i="3"/>
  <c r="J1168" i="3"/>
  <c r="J1169" i="3"/>
  <c r="J1170" i="3"/>
  <c r="J1171"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2" i="3"/>
  <c r="AB27" i="1"/>
  <c r="AB28" i="1"/>
  <c r="AB29" i="1"/>
  <c r="AB30" i="1"/>
  <c r="AB31" i="1"/>
  <c r="AB32" i="1"/>
  <c r="AB33" i="1"/>
  <c r="AB34" i="1"/>
  <c r="AB35" i="1"/>
  <c r="AB36" i="1"/>
  <c r="AB37" i="1"/>
  <c r="AB38" i="1"/>
  <c r="AB39" i="1"/>
  <c r="AC27" i="1"/>
  <c r="Y58" i="1" a="1"/>
  <c r="Y58" i="1" s="1"/>
  <c r="X58" i="1" s="1"/>
  <c r="Y59" i="1" a="1"/>
  <c r="Y59" i="1" s="1"/>
  <c r="X59" i="1" s="1"/>
  <c r="Y48" i="1" a="1"/>
  <c r="Y48" i="1" s="1"/>
  <c r="X48" i="1" s="1"/>
  <c r="Y49" i="1" a="1"/>
  <c r="Y49" i="1" s="1"/>
  <c r="X49" i="1" s="1"/>
  <c r="Y50" i="1" a="1"/>
  <c r="Y50" i="1" s="1"/>
  <c r="X50" i="1" s="1"/>
  <c r="Y51" i="1" a="1"/>
  <c r="Y51" i="1" s="1"/>
  <c r="X51" i="1" s="1"/>
  <c r="Y52" i="1" a="1"/>
  <c r="Y52" i="1" s="1"/>
  <c r="X52" i="1" s="1"/>
  <c r="Y53" i="1" a="1"/>
  <c r="Y53" i="1" s="1"/>
  <c r="X53" i="1" s="1"/>
  <c r="Y54" i="1" a="1"/>
  <c r="Y54" i="1" s="1"/>
  <c r="X54" i="1" s="1"/>
  <c r="Y55" i="1" a="1"/>
  <c r="Y55" i="1" s="1"/>
  <c r="X55" i="1" s="1"/>
  <c r="Y56" i="1" a="1"/>
  <c r="Y56" i="1" s="1"/>
  <c r="X56" i="1" s="1"/>
  <c r="Y57" i="1" a="1"/>
  <c r="Y57" i="1" s="1"/>
  <c r="X57" i="1" s="1"/>
  <c r="Y47" i="1" a="1"/>
  <c r="Y47" i="1" s="1"/>
  <c r="X47" i="1" s="1"/>
  <c r="AC31" i="1"/>
  <c r="AC28" i="1"/>
  <c r="AC29" i="1"/>
  <c r="AC30" i="1"/>
  <c r="AC32" i="1"/>
  <c r="AC33" i="1"/>
  <c r="AC34" i="1"/>
  <c r="AC35" i="1"/>
  <c r="AC36" i="1"/>
  <c r="AC37" i="1"/>
  <c r="AC38" i="1"/>
  <c r="AC39"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2" i="1"/>
  <c r="P5" i="3" a="1"/>
  <c r="P5" i="3" s="1"/>
  <c r="Q5" i="3" s="1"/>
  <c r="T20" i="3" l="1" a="1"/>
  <c r="T20" i="3" s="1"/>
  <c r="X5" i="3"/>
  <c r="Q11" i="3"/>
  <c r="X10" i="3"/>
  <c r="Q7" i="3"/>
  <c r="X6" i="3"/>
  <c r="Q6" i="3"/>
  <c r="R5" i="3"/>
  <c r="X16" i="3"/>
  <c r="Q16" i="3"/>
  <c r="X15" i="3"/>
  <c r="Q15" i="3"/>
  <c r="X14" i="3"/>
  <c r="Q14" i="3"/>
  <c r="I2" i="3" s="1" a="1"/>
  <c r="X13" i="3"/>
  <c r="Q13" i="3"/>
  <c r="X12" i="3"/>
  <c r="Q12" i="3"/>
  <c r="X11" i="3"/>
  <c r="Q10" i="3"/>
  <c r="X9" i="3"/>
  <c r="Q9" i="3"/>
  <c r="X8" i="3"/>
  <c r="Q8" i="3"/>
  <c r="X7" i="3"/>
  <c r="U21" i="3" l="1"/>
  <c r="I2" i="3"/>
  <c r="V11" i="3" s="1"/>
  <c r="W8" i="3"/>
  <c r="U22" i="3"/>
  <c r="U20" i="3"/>
  <c r="P23" i="3" a="1"/>
  <c r="P23" i="3" s="1"/>
  <c r="T6" i="3" a="1"/>
  <c r="T6" i="3" s="1"/>
  <c r="T7" i="3" a="1"/>
  <c r="T7" i="3" s="1"/>
  <c r="T8" i="3" a="1"/>
  <c r="T8" i="3" s="1"/>
  <c r="T9" i="3" a="1"/>
  <c r="T9" i="3" s="1"/>
  <c r="T10" i="3" a="1"/>
  <c r="T10" i="3" s="1"/>
  <c r="T11" i="3" a="1"/>
  <c r="T11" i="3" s="1"/>
  <c r="T12" i="3" a="1"/>
  <c r="T12" i="3" s="1"/>
  <c r="T13" i="3" a="1"/>
  <c r="T13" i="3" s="1"/>
  <c r="T14" i="3" a="1"/>
  <c r="T14" i="3" s="1"/>
  <c r="T15" i="3" a="1"/>
  <c r="T15" i="3" s="1"/>
  <c r="T16" i="3" a="1"/>
  <c r="T16" i="3" s="1"/>
  <c r="S6" i="3" a="1"/>
  <c r="S6" i="3" s="1"/>
  <c r="U6" i="3" s="1" a="1"/>
  <c r="U6" i="3" s="1"/>
  <c r="S7" i="3" a="1"/>
  <c r="S7" i="3" s="1"/>
  <c r="U7" i="3" s="1" a="1"/>
  <c r="U7" i="3" s="1"/>
  <c r="S8" i="3" a="1"/>
  <c r="S8" i="3" s="1"/>
  <c r="U8" i="3" s="1" a="1"/>
  <c r="U8" i="3" s="1"/>
  <c r="S9" i="3" a="1"/>
  <c r="S9" i="3" s="1"/>
  <c r="U9" i="3" s="1" a="1"/>
  <c r="U9" i="3" s="1"/>
  <c r="S10" i="3" a="1"/>
  <c r="S10" i="3" s="1"/>
  <c r="U10" i="3" s="1" a="1"/>
  <c r="U10" i="3" s="1"/>
  <c r="S11" i="3" a="1"/>
  <c r="S11" i="3" s="1"/>
  <c r="U11" i="3" s="1" a="1"/>
  <c r="U11" i="3" s="1"/>
  <c r="S12" i="3" a="1"/>
  <c r="S12" i="3" s="1"/>
  <c r="U12" i="3" s="1" a="1"/>
  <c r="U12" i="3" s="1"/>
  <c r="S13" i="3" a="1"/>
  <c r="S13" i="3" s="1"/>
  <c r="U13" i="3" s="1" a="1"/>
  <c r="U13" i="3" s="1"/>
  <c r="S14" i="3" a="1"/>
  <c r="S14" i="3" s="1"/>
  <c r="U14" i="3" s="1" a="1"/>
  <c r="U14" i="3" s="1"/>
  <c r="S15" i="3" a="1"/>
  <c r="S15" i="3" s="1"/>
  <c r="U15" i="3" s="1" a="1"/>
  <c r="U15" i="3" s="1"/>
  <c r="S16" i="3" a="1"/>
  <c r="S16" i="3" s="1"/>
  <c r="U16" i="3" s="1" a="1"/>
  <c r="U16" i="3" s="1"/>
  <c r="S5" i="3" a="1"/>
  <c r="S5" i="3" s="1"/>
  <c r="U5" i="3" s="1" a="1"/>
  <c r="U5" i="3" s="1"/>
  <c r="R6" i="3"/>
  <c r="R7" i="3"/>
  <c r="R8" i="3"/>
  <c r="R9" i="3"/>
  <c r="R10" i="3"/>
  <c r="R11" i="3"/>
  <c r="R12" i="3"/>
  <c r="R13" i="3"/>
  <c r="R14" i="3"/>
  <c r="R15" i="3"/>
  <c r="R16" i="3"/>
  <c r="V8" i="3" l="1"/>
  <c r="W6" i="3"/>
  <c r="V10" i="3"/>
  <c r="W10" i="3"/>
  <c r="W5" i="3"/>
  <c r="V5" i="3"/>
  <c r="V16" i="3"/>
  <c r="W15" i="3"/>
  <c r="V14" i="3"/>
  <c r="W13" i="3"/>
  <c r="W11" i="3"/>
  <c r="W7" i="3"/>
  <c r="Y5" i="3" a="1"/>
  <c r="Y5" i="3" s="1"/>
  <c r="J156" i="3" s="1"/>
  <c r="Y16" i="3" a="1"/>
  <c r="Y16" i="3" s="1"/>
  <c r="V6" i="3"/>
  <c r="Y15" i="3" a="1"/>
  <c r="Y15" i="3" s="1"/>
  <c r="J541" i="3" s="1"/>
  <c r="Y14" i="3" a="1"/>
  <c r="Y14" i="3" s="1"/>
  <c r="Y13" i="3" a="1"/>
  <c r="Y13" i="3" s="1"/>
  <c r="Y12" i="3" a="1"/>
  <c r="Y12" i="3" s="1"/>
  <c r="Y11" i="3" a="1"/>
  <c r="Y11" i="3" s="1"/>
  <c r="Y10" i="3" a="1"/>
  <c r="Y10" i="3" s="1"/>
  <c r="Y9" i="3" a="1"/>
  <c r="Y9" i="3" s="1"/>
  <c r="Y8" i="3" a="1"/>
  <c r="Y8" i="3" s="1"/>
  <c r="Y7" i="3" a="1"/>
  <c r="Y7" i="3" s="1"/>
  <c r="Y6" i="3" a="1"/>
  <c r="Y6" i="3" s="1"/>
  <c r="J776" i="3" s="1"/>
  <c r="L25" i="3" a="1"/>
  <c r="W16" i="3"/>
  <c r="V15" i="3"/>
  <c r="V9" i="3"/>
  <c r="W14" i="3"/>
  <c r="W9" i="3"/>
  <c r="V13" i="3"/>
  <c r="V7" i="3"/>
  <c r="V12" i="3"/>
  <c r="W12" i="3"/>
  <c r="R23" i="3"/>
  <c r="L5" i="3" a="1"/>
  <c r="J675" i="3" l="1"/>
  <c r="J894" i="3"/>
  <c r="J928" i="3"/>
  <c r="J307" i="3"/>
  <c r="J43" i="3"/>
  <c r="J66" i="3"/>
  <c r="J1119" i="3"/>
  <c r="J544" i="3"/>
  <c r="J291" i="3"/>
  <c r="J1156" i="3"/>
  <c r="J887" i="3"/>
  <c r="J144" i="3"/>
  <c r="J231" i="3"/>
  <c r="J867" i="3"/>
  <c r="J884" i="3"/>
  <c r="J746" i="3"/>
  <c r="J1172" i="3"/>
  <c r="J757" i="3"/>
  <c r="J952" i="3"/>
  <c r="J320" i="3"/>
  <c r="J244" i="3"/>
  <c r="J543" i="3"/>
  <c r="J934" i="3"/>
  <c r="J474" i="3"/>
  <c r="J76" i="3"/>
  <c r="J674" i="3"/>
  <c r="J686" i="3"/>
  <c r="J847" i="3"/>
  <c r="J96" i="3"/>
  <c r="J985" i="3"/>
  <c r="L25" i="3"/>
  <c r="M27" i="3" s="1"/>
  <c r="H1182" i="3" a="1"/>
  <c r="H1182" i="3" s="1"/>
  <c r="H603" i="3" a="1"/>
  <c r="H603" i="3" s="1"/>
  <c r="H421" i="3" a="1"/>
  <c r="H421" i="3" s="1"/>
  <c r="H1181" i="3" a="1"/>
  <c r="H1181" i="3" s="1"/>
  <c r="H822" i="3" a="1"/>
  <c r="H822" i="3" s="1"/>
  <c r="H1095" i="3" a="1"/>
  <c r="H1095" i="3" s="1"/>
  <c r="H1022" i="3" a="1"/>
  <c r="H1022" i="3" s="1"/>
  <c r="H679" i="3" a="1"/>
  <c r="H679" i="3" s="1"/>
  <c r="H571" i="3" a="1"/>
  <c r="H571" i="3" s="1"/>
  <c r="H13" i="3" a="1"/>
  <c r="H13" i="3" s="1"/>
  <c r="H272" i="3" a="1"/>
  <c r="H272" i="3" s="1"/>
  <c r="H334" i="3" a="1"/>
  <c r="H334" i="3" s="1"/>
  <c r="H916" i="3" a="1"/>
  <c r="H916" i="3" s="1"/>
  <c r="H1005" i="3" a="1"/>
  <c r="H1005" i="3" s="1"/>
  <c r="L5" i="3"/>
  <c r="H290" i="3" s="1" a="1"/>
  <c r="H290" i="3" s="1"/>
  <c r="H262" i="3" a="1"/>
  <c r="H262" i="3" s="1"/>
  <c r="H497" i="3" a="1"/>
  <c r="H497" i="3" s="1"/>
  <c r="H513" i="3" a="1"/>
  <c r="H513" i="3" s="1"/>
  <c r="H729" i="3" a="1"/>
  <c r="H729" i="3" s="1"/>
  <c r="H1020" i="3" a="1"/>
  <c r="H1020" i="3" s="1"/>
  <c r="H6" i="3" a="1"/>
  <c r="H6" i="3" s="1"/>
  <c r="H14" i="3" a="1"/>
  <c r="H14" i="3" s="1"/>
  <c r="H134" i="3" a="1"/>
  <c r="H134" i="3" s="1"/>
  <c r="H142" i="3" a="1"/>
  <c r="H142" i="3" s="1"/>
  <c r="H158" i="3" a="1"/>
  <c r="H158" i="3" s="1"/>
  <c r="H166" i="3" a="1"/>
  <c r="H166" i="3" s="1"/>
  <c r="H182" i="3" a="1"/>
  <c r="H182" i="3" s="1"/>
  <c r="H198" i="3" a="1"/>
  <c r="H198" i="3" s="1"/>
  <c r="H206" i="3" a="1"/>
  <c r="H206" i="3" s="1"/>
  <c r="H498" i="3" a="1"/>
  <c r="H498" i="3" s="1"/>
  <c r="H514" i="3" a="1"/>
  <c r="H514" i="3" s="1"/>
  <c r="H553" i="3" a="1"/>
  <c r="H553" i="3" s="1"/>
  <c r="H845" i="3" a="1"/>
  <c r="H845" i="3" s="1"/>
  <c r="H930" i="3" a="1"/>
  <c r="H930" i="3" s="1"/>
  <c r="H1021" i="3" a="1"/>
  <c r="H1021" i="3" s="1"/>
  <c r="H1114" i="3" a="1"/>
  <c r="H1114" i="3" s="1"/>
  <c r="H379" i="3" a="1"/>
  <c r="H379" i="3" s="1"/>
  <c r="H468" i="3" a="1"/>
  <c r="H468" i="3" s="1"/>
  <c r="H483" i="3" a="1"/>
  <c r="H483" i="3" s="1"/>
  <c r="H558" i="3" a="1"/>
  <c r="H558" i="3" s="1"/>
  <c r="H688" i="3" a="1"/>
  <c r="H688" i="3" s="1"/>
  <c r="H857" i="3" a="1"/>
  <c r="H857" i="3" s="1"/>
  <c r="H932" i="3" a="1"/>
  <c r="H932" i="3" s="1"/>
  <c r="H1023" i="3" a="1"/>
  <c r="H1023" i="3" s="1"/>
  <c r="H1129" i="3" a="1"/>
  <c r="H1129" i="3" s="1"/>
  <c r="H127" i="3" a="1"/>
  <c r="H127" i="3" s="1"/>
  <c r="H135" i="3" a="1"/>
  <c r="H135" i="3" s="1"/>
  <c r="H143" i="3" a="1"/>
  <c r="H143" i="3" s="1"/>
  <c r="H151" i="3" a="1"/>
  <c r="H151" i="3" s="1"/>
  <c r="H183" i="3" a="1"/>
  <c r="H183" i="3" s="1"/>
  <c r="H191" i="3" a="1"/>
  <c r="H191" i="3" s="1"/>
  <c r="H207" i="3" a="1"/>
  <c r="H207" i="3" s="1"/>
  <c r="H215" i="3" a="1"/>
  <c r="H215" i="3" s="1"/>
  <c r="H391" i="3" a="1"/>
  <c r="H391" i="3" s="1"/>
  <c r="H417" i="3" a="1"/>
  <c r="H417" i="3" s="1"/>
  <c r="H560" i="3" a="1"/>
  <c r="H560" i="3" s="1"/>
  <c r="H590" i="3" a="1"/>
  <c r="H590" i="3" s="1"/>
  <c r="H1038" i="3" a="1"/>
  <c r="H1038" i="3" s="1"/>
  <c r="H1130" i="3" a="1"/>
  <c r="H1130" i="3" s="1"/>
  <c r="H265" i="3" a="1"/>
  <c r="H265" i="3" s="1"/>
  <c r="H284" i="3" a="1"/>
  <c r="H284" i="3" s="1"/>
  <c r="H430" i="3" a="1"/>
  <c r="H430" i="3" s="1"/>
  <c r="H443" i="3" a="1"/>
  <c r="H443" i="3" s="1"/>
  <c r="H457" i="3" a="1"/>
  <c r="H457" i="3" s="1"/>
  <c r="H484" i="3" a="1"/>
  <c r="H484" i="3" s="1"/>
  <c r="H500" i="3" a="1"/>
  <c r="H500" i="3" s="1"/>
  <c r="H639" i="3" a="1"/>
  <c r="H639" i="3" s="1"/>
  <c r="H747" i="3" a="1"/>
  <c r="H747" i="3" s="1"/>
  <c r="H798" i="3" a="1"/>
  <c r="H798" i="3" s="1"/>
  <c r="H860" i="3" a="1"/>
  <c r="H860" i="3" s="1"/>
  <c r="H48" i="3" a="1"/>
  <c r="H48" i="3" s="1"/>
  <c r="H56" i="3" a="1"/>
  <c r="H56" i="3" s="1"/>
  <c r="H88" i="3" a="1"/>
  <c r="H88" i="3" s="1"/>
  <c r="H96" i="3" a="1"/>
  <c r="H96" i="3" s="1"/>
  <c r="H104" i="3" a="1"/>
  <c r="H104" i="3" s="1"/>
  <c r="H112" i="3" a="1"/>
  <c r="H112" i="3" s="1"/>
  <c r="H120" i="3" a="1"/>
  <c r="H120" i="3" s="1"/>
  <c r="H128" i="3" a="1"/>
  <c r="H128" i="3" s="1"/>
  <c r="H144" i="3" a="1"/>
  <c r="H144" i="3" s="1"/>
  <c r="H152" i="3" a="1"/>
  <c r="H152" i="3" s="1"/>
  <c r="H240" i="3" a="1"/>
  <c r="H240" i="3" s="1"/>
  <c r="H248" i="3" a="1"/>
  <c r="H248" i="3" s="1"/>
  <c r="H256" i="3" a="1"/>
  <c r="H256" i="3" s="1"/>
  <c r="H296" i="3" a="1"/>
  <c r="H296" i="3" s="1"/>
  <c r="H328" i="3" a="1"/>
  <c r="H328" i="3" s="1"/>
  <c r="H360" i="3" a="1"/>
  <c r="H360" i="3" s="1"/>
  <c r="H393" i="3" a="1"/>
  <c r="H393" i="3" s="1"/>
  <c r="H458" i="3" a="1"/>
  <c r="H458" i="3" s="1"/>
  <c r="H748" i="3" a="1"/>
  <c r="H748" i="3" s="1"/>
  <c r="H317" i="3" a="1"/>
  <c r="H317" i="3" s="1"/>
  <c r="H339" i="3" a="1"/>
  <c r="H339" i="3" s="1"/>
  <c r="H349" i="3" a="1"/>
  <c r="H349" i="3" s="1"/>
  <c r="H371" i="3" a="1"/>
  <c r="H371" i="3" s="1"/>
  <c r="H381" i="3" a="1"/>
  <c r="H381" i="3" s="1"/>
  <c r="H394" i="3" a="1"/>
  <c r="H394" i="3" s="1"/>
  <c r="H444" i="3" a="1"/>
  <c r="H444" i="3" s="1"/>
  <c r="H473" i="3" a="1"/>
  <c r="H473" i="3" s="1"/>
  <c r="H486" i="3" a="1"/>
  <c r="H486" i="3" s="1"/>
  <c r="H502" i="3" a="1"/>
  <c r="H502" i="3" s="1"/>
  <c r="H1150" i="3" a="1"/>
  <c r="H1150" i="3" s="1"/>
  <c r="H17" i="3" a="1"/>
  <c r="H17" i="3" s="1"/>
  <c r="H41" i="3" a="1"/>
  <c r="H41" i="3" s="1"/>
  <c r="H49" i="3" a="1"/>
  <c r="H49" i="3" s="1"/>
  <c r="H65" i="3" a="1"/>
  <c r="H65" i="3" s="1"/>
  <c r="H73" i="3" a="1"/>
  <c r="H73" i="3" s="1"/>
  <c r="H81" i="3" a="1"/>
  <c r="H81" i="3" s="1"/>
  <c r="H89" i="3" a="1"/>
  <c r="H89" i="3" s="1"/>
  <c r="H97" i="3" a="1"/>
  <c r="H97" i="3" s="1"/>
  <c r="H113" i="3" a="1"/>
  <c r="H113" i="3" s="1"/>
  <c r="H185" i="3" a="1"/>
  <c r="H185" i="3" s="1"/>
  <c r="H193" i="3" a="1"/>
  <c r="H193" i="3" s="1"/>
  <c r="H201" i="3" a="1"/>
  <c r="H201" i="3" s="1"/>
  <c r="H209" i="3" a="1"/>
  <c r="H209" i="3" s="1"/>
  <c r="H217" i="3" a="1"/>
  <c r="H217" i="3" s="1"/>
  <c r="H225" i="3" a="1"/>
  <c r="H225" i="3" s="1"/>
  <c r="H241" i="3" a="1"/>
  <c r="H241" i="3" s="1"/>
  <c r="H249" i="3" a="1"/>
  <c r="H249" i="3" s="1"/>
  <c r="H257" i="3" a="1"/>
  <c r="H257" i="3" s="1"/>
  <c r="H361" i="3" a="1"/>
  <c r="H361" i="3" s="1"/>
  <c r="H382" i="3" a="1"/>
  <c r="H382" i="3" s="1"/>
  <c r="H407" i="3" a="1"/>
  <c r="H407" i="3" s="1"/>
  <c r="H433" i="3" a="1"/>
  <c r="H433" i="3" s="1"/>
  <c r="H459" i="3" a="1"/>
  <c r="H459" i="3" s="1"/>
  <c r="H474" i="3" a="1"/>
  <c r="H474" i="3" s="1"/>
  <c r="H568" i="3" a="1"/>
  <c r="H568" i="3" s="1"/>
  <c r="H599" i="3" a="1"/>
  <c r="H599" i="3" s="1"/>
  <c r="H649" i="3" a="1"/>
  <c r="H649" i="3" s="1"/>
  <c r="H700" i="3" a="1"/>
  <c r="H700" i="3" s="1"/>
  <c r="H287" i="3" a="1"/>
  <c r="H287" i="3" s="1"/>
  <c r="H298" i="3" a="1"/>
  <c r="H298" i="3" s="1"/>
  <c r="H308" i="3" a="1"/>
  <c r="H308" i="3" s="1"/>
  <c r="H319" i="3" a="1"/>
  <c r="H319" i="3" s="1"/>
  <c r="H330" i="3" a="1"/>
  <c r="H330" i="3" s="1"/>
  <c r="H351" i="3" a="1"/>
  <c r="H351" i="3" s="1"/>
  <c r="H362" i="3" a="1"/>
  <c r="H362" i="3" s="1"/>
  <c r="H372" i="3" a="1"/>
  <c r="H372" i="3" s="1"/>
  <c r="H383" i="3" a="1"/>
  <c r="H383" i="3" s="1"/>
  <c r="H395" i="3" a="1"/>
  <c r="H395" i="3" s="1"/>
  <c r="H600" i="3" a="1"/>
  <c r="H600" i="3" s="1"/>
  <c r="H650" i="3" a="1"/>
  <c r="H650" i="3" s="1"/>
  <c r="H708" i="3" a="1"/>
  <c r="H708" i="3" s="1"/>
  <c r="H810" i="3" a="1"/>
  <c r="H810" i="3" s="1"/>
  <c r="H966" i="3" a="1"/>
  <c r="H966" i="3" s="1"/>
  <c r="H1060" i="3" a="1"/>
  <c r="H1060" i="3" s="1"/>
  <c r="H1173" i="3" a="1"/>
  <c r="H1173" i="3" s="1"/>
  <c r="H10" i="3" a="1"/>
  <c r="H10" i="3" s="1"/>
  <c r="H34" i="3" a="1"/>
  <c r="H34" i="3" s="1"/>
  <c r="H50" i="3" a="1"/>
  <c r="H50" i="3" s="1"/>
  <c r="H122" i="3" a="1"/>
  <c r="H122" i="3" s="1"/>
  <c r="H130" i="3" a="1"/>
  <c r="H130" i="3" s="1"/>
  <c r="H138" i="3" a="1"/>
  <c r="H138" i="3" s="1"/>
  <c r="H154" i="3" a="1"/>
  <c r="H154" i="3" s="1"/>
  <c r="H162" i="3" a="1"/>
  <c r="H162" i="3" s="1"/>
  <c r="H170" i="3" a="1"/>
  <c r="H170" i="3" s="1"/>
  <c r="H186" i="3" a="1"/>
  <c r="H186" i="3" s="1"/>
  <c r="H194" i="3" a="1"/>
  <c r="H194" i="3" s="1"/>
  <c r="H202" i="3" a="1"/>
  <c r="H202" i="3" s="1"/>
  <c r="H210" i="3" a="1"/>
  <c r="H210" i="3" s="1"/>
  <c r="H234" i="3" a="1"/>
  <c r="H234" i="3" s="1"/>
  <c r="H277" i="3" a="1"/>
  <c r="H277" i="3" s="1"/>
  <c r="H288" i="3" a="1"/>
  <c r="H288" i="3" s="1"/>
  <c r="H352" i="3" a="1"/>
  <c r="H352" i="3" s="1"/>
  <c r="H384" i="3" a="1"/>
  <c r="H384" i="3" s="1"/>
  <c r="H409" i="3" a="1"/>
  <c r="H409" i="3" s="1"/>
  <c r="H447" i="3" a="1"/>
  <c r="H447" i="3" s="1"/>
  <c r="H460" i="3" a="1"/>
  <c r="H460" i="3" s="1"/>
  <c r="H475" i="3" a="1"/>
  <c r="H475" i="3" s="1"/>
  <c r="H490" i="3" a="1"/>
  <c r="H490" i="3" s="1"/>
  <c r="H506" i="3" a="1"/>
  <c r="H506" i="3" s="1"/>
  <c r="H886" i="3" a="1"/>
  <c r="H886" i="3" s="1"/>
  <c r="H1074" i="3" a="1"/>
  <c r="H1074" i="3" s="1"/>
  <c r="H1174" i="3" a="1"/>
  <c r="H1174" i="3" s="1"/>
  <c r="H3" i="3" a="1"/>
  <c r="H3" i="3" s="1"/>
  <c r="H18" i="3" a="1"/>
  <c r="H18" i="3" s="1"/>
  <c r="H26" i="3" a="1"/>
  <c r="H26" i="3" s="1"/>
  <c r="H42" i="3" a="1"/>
  <c r="H42" i="3" s="1"/>
  <c r="H58" i="3" a="1"/>
  <c r="H58" i="3" s="1"/>
  <c r="H82" i="3" a="1"/>
  <c r="H82" i="3" s="1"/>
  <c r="H178" i="3" a="1"/>
  <c r="H178" i="3" s="1"/>
  <c r="H363" i="3" a="1"/>
  <c r="H363" i="3" s="1"/>
  <c r="H373" i="3" a="1"/>
  <c r="H373" i="3" s="1"/>
  <c r="H396" i="3" a="1"/>
  <c r="H396" i="3" s="1"/>
  <c r="H410" i="3" a="1"/>
  <c r="H410" i="3" s="1"/>
  <c r="H422" i="3" a="1"/>
  <c r="H422" i="3" s="1"/>
  <c r="H435" i="3" a="1"/>
  <c r="H435" i="3" s="1"/>
  <c r="H542" i="3" a="1"/>
  <c r="H542" i="3" s="1"/>
  <c r="H572" i="3" a="1"/>
  <c r="H572" i="3" s="1"/>
  <c r="H609" i="3" a="1"/>
  <c r="H609" i="3" s="1"/>
  <c r="H659" i="3" a="1"/>
  <c r="H659" i="3" s="1"/>
  <c r="M25" i="3" l="1"/>
  <c r="M26" i="3" s="1"/>
  <c r="N27" i="3" s="1"/>
  <c r="H515" i="3" a="1"/>
  <c r="H515" i="3" s="1"/>
  <c r="H1025" i="3" a="1"/>
  <c r="H1025" i="3" s="1"/>
  <c r="H629" i="3" a="1"/>
  <c r="H629" i="3" s="1"/>
  <c r="H842" i="3" a="1"/>
  <c r="H842" i="3" s="1"/>
  <c r="H758" i="3" a="1"/>
  <c r="H758" i="3" s="1"/>
  <c r="H485" i="3" a="1"/>
  <c r="H485" i="3" s="1"/>
  <c r="H530" i="3" a="1"/>
  <c r="H530" i="3" s="1"/>
  <c r="H150" i="3" a="1"/>
  <c r="H150" i="3" s="1"/>
  <c r="H529" i="3" a="1"/>
  <c r="H529" i="3" s="1"/>
  <c r="H481" i="3" a="1"/>
  <c r="H481" i="3" s="1"/>
  <c r="H985" i="3" a="1"/>
  <c r="H985" i="3" s="1"/>
  <c r="H593" i="3" a="1"/>
  <c r="H593" i="3" s="1"/>
  <c r="H369" i="3" a="1"/>
  <c r="H369" i="3" s="1"/>
  <c r="H111" i="3" a="1"/>
  <c r="H111" i="3" s="1"/>
  <c r="H454" i="3" a="1"/>
  <c r="H454" i="3" s="1"/>
  <c r="H441" i="3" a="1"/>
  <c r="H441" i="3" s="1"/>
  <c r="H126" i="3" a="1"/>
  <c r="H126" i="3" s="1"/>
  <c r="H452" i="3" a="1"/>
  <c r="H452" i="3" s="1"/>
  <c r="H261" i="3" a="1"/>
  <c r="H261" i="3" s="1"/>
  <c r="H1132" i="3" a="1"/>
  <c r="H1132" i="3" s="1"/>
  <c r="H813" i="3" a="1"/>
  <c r="H813" i="3" s="1"/>
  <c r="H404" i="3" a="1"/>
  <c r="H404" i="3" s="1"/>
  <c r="H358" i="3" a="1"/>
  <c r="H358" i="3" s="1"/>
  <c r="H95" i="3" a="1"/>
  <c r="H95" i="3" s="1"/>
  <c r="H390" i="3" a="1"/>
  <c r="H390" i="3" s="1"/>
  <c r="H368" i="3" a="1"/>
  <c r="H368" i="3" s="1"/>
  <c r="H94" i="3" a="1"/>
  <c r="H94" i="3" s="1"/>
  <c r="H414" i="3" a="1"/>
  <c r="H414" i="3" s="1"/>
  <c r="H253" i="3" a="1"/>
  <c r="H253" i="3" s="1"/>
  <c r="H661" i="3" a="1"/>
  <c r="H661" i="3" s="1"/>
  <c r="H1101" i="3" a="1"/>
  <c r="H1101" i="3" s="1"/>
  <c r="H336" i="3" a="1"/>
  <c r="H336" i="3" s="1"/>
  <c r="H78" i="3" a="1"/>
  <c r="H78" i="3" s="1"/>
  <c r="H402" i="3" a="1"/>
  <c r="H402" i="3" s="1"/>
  <c r="H213" i="3" a="1"/>
  <c r="H213" i="3" s="1"/>
  <c r="H769" i="3" a="1"/>
  <c r="H769" i="3" s="1"/>
  <c r="H1138" i="3" a="1"/>
  <c r="H1138" i="3" s="1"/>
  <c r="H9" i="3" a="1"/>
  <c r="H9" i="3" s="1"/>
  <c r="H232" i="3" a="1"/>
  <c r="H232" i="3" s="1"/>
  <c r="H521" i="3" a="1"/>
  <c r="H521" i="3" s="1"/>
  <c r="H216" i="3" a="1"/>
  <c r="H216" i="3" s="1"/>
  <c r="H294" i="3" a="1"/>
  <c r="H294" i="3" s="1"/>
  <c r="H331" i="3" a="1"/>
  <c r="H331" i="3" s="1"/>
  <c r="H250" i="3" a="1"/>
  <c r="H250" i="3" s="1"/>
  <c r="H106" i="3" a="1"/>
  <c r="H106" i="3" s="1"/>
  <c r="H25" i="3" a="1"/>
  <c r="H25" i="3" s="1"/>
  <c r="H266" i="3" a="1"/>
  <c r="H266" i="3" s="1"/>
  <c r="H357" i="3" a="1"/>
  <c r="H357" i="3" s="1"/>
  <c r="H304" i="3" a="1"/>
  <c r="H304" i="3" s="1"/>
  <c r="H388" i="3" a="1"/>
  <c r="H388" i="3" s="1"/>
  <c r="H205" i="3" a="1"/>
  <c r="H205" i="3" s="1"/>
  <c r="H577" i="3" a="1"/>
  <c r="H577" i="3" s="1"/>
  <c r="H819" i="3" a="1"/>
  <c r="H819" i="3" s="1"/>
  <c r="H114" i="3" a="1"/>
  <c r="H114" i="3" s="1"/>
  <c r="H267" i="3" a="1"/>
  <c r="H267" i="3" s="1"/>
  <c r="H285" i="3" a="1"/>
  <c r="H285" i="3" s="1"/>
  <c r="H380" i="3" a="1"/>
  <c r="H380" i="3" s="1"/>
  <c r="H87" i="3" a="1"/>
  <c r="H87" i="3" s="1"/>
  <c r="H658" i="3" a="1"/>
  <c r="H658" i="3" s="1"/>
  <c r="H505" i="3" a="1"/>
  <c r="H505" i="3" s="1"/>
  <c r="H329" i="3" a="1"/>
  <c r="H329" i="3" s="1"/>
  <c r="H153" i="3" a="1"/>
  <c r="H153" i="3" s="1"/>
  <c r="H208" i="3" a="1"/>
  <c r="H208" i="3" s="1"/>
  <c r="H370" i="3" a="1"/>
  <c r="H370" i="3" s="1"/>
  <c r="H79" i="3" a="1"/>
  <c r="H79" i="3" s="1"/>
  <c r="H70" i="3" a="1"/>
  <c r="H70" i="3" s="1"/>
  <c r="H779" i="3" a="1"/>
  <c r="H779" i="3" s="1"/>
  <c r="H309" i="3" a="1"/>
  <c r="H309" i="3" s="1"/>
  <c r="H601" i="3" a="1"/>
  <c r="H601" i="3" s="1"/>
  <c r="H242" i="3" a="1"/>
  <c r="H242" i="3" s="1"/>
  <c r="H98" i="3" a="1"/>
  <c r="H98" i="3" s="1"/>
  <c r="H489" i="3" a="1"/>
  <c r="H489" i="3" s="1"/>
  <c r="H1057" i="3" a="1"/>
  <c r="H1057" i="3" s="1"/>
  <c r="H318" i="3" a="1"/>
  <c r="H318" i="3" s="1"/>
  <c r="H145" i="3" a="1"/>
  <c r="H145" i="3" s="1"/>
  <c r="H950" i="3" a="1"/>
  <c r="H950" i="3" s="1"/>
  <c r="H1041" i="3" a="1"/>
  <c r="H1041" i="3" s="1"/>
  <c r="H200" i="3" a="1"/>
  <c r="H200" i="3" s="1"/>
  <c r="H24" i="3" a="1"/>
  <c r="H24" i="3" s="1"/>
  <c r="H348" i="3" a="1"/>
  <c r="H348" i="3" s="1"/>
  <c r="H255" i="3" a="1"/>
  <c r="H255" i="3" s="1"/>
  <c r="H71" i="3" a="1"/>
  <c r="H71" i="3" s="1"/>
  <c r="H347" i="3" a="1"/>
  <c r="H347" i="3" s="1"/>
  <c r="H263" i="3" a="1"/>
  <c r="H263" i="3" s="1"/>
  <c r="H62" i="3" a="1"/>
  <c r="H62" i="3" s="1"/>
  <c r="H346" i="3" a="1"/>
  <c r="H346" i="3" s="1"/>
  <c r="H117" i="3" a="1"/>
  <c r="H117" i="3" s="1"/>
  <c r="H903" i="3" a="1"/>
  <c r="H903" i="3" s="1"/>
  <c r="H806" i="3" a="1"/>
  <c r="H806" i="3" s="1"/>
  <c r="H965" i="3" a="1"/>
  <c r="H965" i="3" s="1"/>
  <c r="H749" i="3" a="1"/>
  <c r="H749" i="3" s="1"/>
  <c r="H184" i="3" a="1"/>
  <c r="H184" i="3" s="1"/>
  <c r="H338" i="3" a="1"/>
  <c r="H338" i="3" s="1"/>
  <c r="H247" i="3" a="1"/>
  <c r="H247" i="3" s="1"/>
  <c r="H63" i="3" a="1"/>
  <c r="H63" i="3" s="1"/>
  <c r="H325" i="3" a="1"/>
  <c r="H325" i="3" s="1"/>
  <c r="H254" i="3" a="1"/>
  <c r="H254" i="3" s="1"/>
  <c r="H54" i="3" a="1"/>
  <c r="H54" i="3" s="1"/>
  <c r="H314" i="3" a="1"/>
  <c r="H314" i="3" s="1"/>
  <c r="H109" i="3" a="1"/>
  <c r="H109" i="3" s="1"/>
  <c r="H988" i="3" a="1"/>
  <c r="H988" i="3" s="1"/>
  <c r="H648" i="3" a="1"/>
  <c r="H648" i="3" s="1"/>
  <c r="H32" i="3" a="1"/>
  <c r="H32" i="3" s="1"/>
  <c r="H570" i="3" a="1"/>
  <c r="H570" i="3" s="1"/>
  <c r="H90" i="3" a="1"/>
  <c r="H90" i="3" s="1"/>
  <c r="H297" i="3" a="1"/>
  <c r="H297" i="3" s="1"/>
  <c r="H16" i="3" a="1"/>
  <c r="H16" i="3" s="1"/>
  <c r="H278" i="3" a="1"/>
  <c r="H278" i="3" s="1"/>
  <c r="H226" i="3" a="1"/>
  <c r="H226" i="3" s="1"/>
  <c r="H434" i="3" a="1"/>
  <c r="H434" i="3" s="1"/>
  <c r="H286" i="3" a="1"/>
  <c r="H286" i="3" s="1"/>
  <c r="H538" i="3" a="1"/>
  <c r="H538" i="3" s="1"/>
  <c r="H871" i="3" a="1"/>
  <c r="H871" i="3" s="1"/>
  <c r="H176" i="3" a="1"/>
  <c r="H176" i="3" s="1"/>
  <c r="H1039" i="3" a="1"/>
  <c r="H1039" i="3" s="1"/>
  <c r="H327" i="3" a="1"/>
  <c r="H327" i="3" s="1"/>
  <c r="H239" i="3" a="1"/>
  <c r="H239" i="3" s="1"/>
  <c r="H55" i="3" a="1"/>
  <c r="H55" i="3" s="1"/>
  <c r="H283" i="3" a="1"/>
  <c r="H283" i="3" s="1"/>
  <c r="H222" i="3" a="1"/>
  <c r="H222" i="3" s="1"/>
  <c r="H38" i="3" a="1"/>
  <c r="H38" i="3" s="1"/>
  <c r="H303" i="3" a="1"/>
  <c r="H303" i="3" s="1"/>
  <c r="H69" i="3" a="1"/>
  <c r="H69" i="3" s="1"/>
  <c r="H1134" i="3" a="1"/>
  <c r="H1134" i="3" s="1"/>
  <c r="H1200" i="3" a="1"/>
  <c r="H1200" i="3" s="1"/>
  <c r="H177" i="3" a="1"/>
  <c r="H177" i="3" s="1"/>
  <c r="H341" i="3" a="1"/>
  <c r="H341" i="3" s="1"/>
  <c r="H258" i="3" a="1"/>
  <c r="H258" i="3" s="1"/>
  <c r="H350" i="3" a="1"/>
  <c r="H350" i="3" s="1"/>
  <c r="H169" i="3" a="1"/>
  <c r="H169" i="3" s="1"/>
  <c r="H2" i="3" a="1"/>
  <c r="H2" i="3" s="1"/>
  <c r="H40" i="3" a="1"/>
  <c r="H40" i="3" s="1"/>
  <c r="H274" i="3" a="1"/>
  <c r="H274" i="3" s="1"/>
  <c r="H1076" i="3" a="1"/>
  <c r="H1076" i="3" s="1"/>
  <c r="H299" i="3" a="1"/>
  <c r="H299" i="3" s="1"/>
  <c r="H446" i="3" a="1"/>
  <c r="H446" i="3" s="1"/>
  <c r="H137" i="3" a="1"/>
  <c r="H137" i="3" s="1"/>
  <c r="H948" i="3" a="1"/>
  <c r="H948" i="3" s="1"/>
  <c r="H983" i="3" a="1"/>
  <c r="H983" i="3" s="1"/>
  <c r="H541" i="3" a="1"/>
  <c r="H541" i="3" s="1"/>
  <c r="H74" i="3" a="1"/>
  <c r="H74" i="3" s="1"/>
  <c r="H809" i="3" a="1"/>
  <c r="H809" i="3" s="1"/>
  <c r="H129" i="3" a="1"/>
  <c r="H129" i="3" s="1"/>
  <c r="H820" i="3" a="1"/>
  <c r="H820" i="3" s="1"/>
  <c r="H268" i="3" a="1"/>
  <c r="H268" i="3" s="1"/>
  <c r="H522" i="3" a="1"/>
  <c r="H522" i="3" s="1"/>
  <c r="H218" i="3" a="1"/>
  <c r="H218" i="3" s="1"/>
  <c r="H66" i="3" a="1"/>
  <c r="H66" i="3" s="1"/>
  <c r="H420" i="3" a="1"/>
  <c r="H420" i="3" s="1"/>
  <c r="H757" i="3" a="1"/>
  <c r="H757" i="3" s="1"/>
  <c r="H276" i="3" a="1"/>
  <c r="H276" i="3" s="1"/>
  <c r="H121" i="3" a="1"/>
  <c r="H121" i="3" s="1"/>
  <c r="H518" i="3" a="1"/>
  <c r="H518" i="3" s="1"/>
  <c r="H800" i="3" a="1"/>
  <c r="H800" i="3" s="1"/>
  <c r="H168" i="3" a="1"/>
  <c r="H168" i="3" s="1"/>
  <c r="H946" i="3" a="1"/>
  <c r="H946" i="3" s="1"/>
  <c r="H295" i="3" a="1"/>
  <c r="H295" i="3" s="1"/>
  <c r="H223" i="3" a="1"/>
  <c r="H223" i="3" s="1"/>
  <c r="H23" i="3" a="1"/>
  <c r="H23" i="3" s="1"/>
  <c r="H264" i="3" a="1"/>
  <c r="H264" i="3" s="1"/>
  <c r="H214" i="3" a="1"/>
  <c r="H214" i="3" s="1"/>
  <c r="H30" i="3" a="1"/>
  <c r="H30" i="3" s="1"/>
  <c r="H292" i="3" a="1"/>
  <c r="H292" i="3" s="1"/>
  <c r="H37" i="3" a="1"/>
  <c r="H37" i="3" s="1"/>
  <c r="H1153" i="3" a="1"/>
  <c r="H1153" i="3" s="1"/>
  <c r="H563" i="3" a="1"/>
  <c r="H563" i="3" s="1"/>
  <c r="H1149" i="3" a="1"/>
  <c r="H1149" i="3" s="1"/>
  <c r="H224" i="3" a="1"/>
  <c r="H224" i="3" s="1"/>
  <c r="H80" i="3" a="1"/>
  <c r="H80" i="3" s="1"/>
  <c r="H470" i="3" a="1"/>
  <c r="H470" i="3" s="1"/>
  <c r="H739" i="3" a="1"/>
  <c r="H739" i="3" s="1"/>
  <c r="H199" i="3" a="1"/>
  <c r="H199" i="3" s="1"/>
  <c r="H15" i="3" a="1"/>
  <c r="H15" i="3" s="1"/>
  <c r="H315" i="3" a="1"/>
  <c r="H315" i="3" s="1"/>
  <c r="H273" i="3" a="1"/>
  <c r="H273" i="3" s="1"/>
  <c r="H86" i="3" a="1"/>
  <c r="H86" i="3" s="1"/>
  <c r="H467" i="3" a="1"/>
  <c r="H467" i="3" s="1"/>
  <c r="H621" i="3" a="1"/>
  <c r="H621" i="3" s="1"/>
  <c r="H507" i="3" a="1"/>
  <c r="H507" i="3" s="1"/>
  <c r="H811" i="3" a="1"/>
  <c r="H811" i="3" s="1"/>
  <c r="H1157" i="3" a="1"/>
  <c r="H1157" i="3" s="1"/>
  <c r="H427" i="3" a="1"/>
  <c r="H427" i="3" s="1"/>
  <c r="H377" i="3" a="1"/>
  <c r="H377" i="3" s="1"/>
  <c r="H523" i="3" a="1"/>
  <c r="H523" i="3" s="1"/>
  <c r="H919" i="3" a="1"/>
  <c r="H919" i="3" s="1"/>
  <c r="H732" i="3" a="1"/>
  <c r="H732" i="3" s="1"/>
  <c r="H768" i="3" a="1"/>
  <c r="H768" i="3" s="1"/>
  <c r="H652" i="3" a="1"/>
  <c r="H652" i="3" s="1"/>
  <c r="H879" i="3" a="1"/>
  <c r="H879" i="3" s="1"/>
  <c r="H57" i="3" a="1"/>
  <c r="H57" i="3" s="1"/>
  <c r="H419" i="3" a="1"/>
  <c r="H419" i="3" s="1"/>
  <c r="H431" i="3" a="1"/>
  <c r="H431" i="3" s="1"/>
  <c r="H160" i="3" a="1"/>
  <c r="H160" i="3" s="1"/>
  <c r="H1133" i="3" a="1"/>
  <c r="H1133" i="3" s="1"/>
  <c r="H359" i="3" a="1"/>
  <c r="H359" i="3" s="1"/>
  <c r="H305" i="3" a="1"/>
  <c r="H305" i="3" s="1"/>
  <c r="H119" i="3" a="1"/>
  <c r="H119" i="3" s="1"/>
  <c r="H531" i="3" a="1"/>
  <c r="H531" i="3" s="1"/>
  <c r="H588" i="3" a="1"/>
  <c r="H588" i="3" s="1"/>
  <c r="H190" i="3" a="1"/>
  <c r="H190" i="3" s="1"/>
  <c r="H22" i="3" a="1"/>
  <c r="H22" i="3" s="1"/>
  <c r="H335" i="3" a="1"/>
  <c r="H335" i="3" s="1"/>
  <c r="H245" i="3" a="1"/>
  <c r="H245" i="3" s="1"/>
  <c r="H901" i="3" a="1"/>
  <c r="H901" i="3" s="1"/>
  <c r="H780" i="3" a="1"/>
  <c r="H780" i="3" s="1"/>
  <c r="H546" i="3" a="1"/>
  <c r="H546" i="3" s="1"/>
  <c r="H77" i="3" a="1"/>
  <c r="H77" i="3" s="1"/>
  <c r="H1151" i="3" a="1"/>
  <c r="H1151" i="3" s="1"/>
  <c r="H477" i="3" a="1"/>
  <c r="H477" i="3" s="1"/>
  <c r="H7" i="3" a="1"/>
  <c r="H7" i="3" s="1"/>
  <c r="H1111" i="3" a="1"/>
  <c r="H1111" i="3" s="1"/>
  <c r="H125" i="3" a="1"/>
  <c r="H125" i="3" s="1"/>
  <c r="H887" i="3" a="1"/>
  <c r="H887" i="3" s="1"/>
  <c r="H1116" i="3" a="1"/>
  <c r="H1116" i="3" s="1"/>
  <c r="H990" i="3" a="1"/>
  <c r="H990" i="3" s="1"/>
  <c r="H861" i="3" a="1"/>
  <c r="H861" i="3" s="1"/>
  <c r="H663" i="3" a="1"/>
  <c r="H663" i="3" s="1"/>
  <c r="H366" i="3" a="1"/>
  <c r="H366" i="3" s="1"/>
  <c r="H499" i="3" a="1"/>
  <c r="H499" i="3" s="1"/>
  <c r="H582" i="3" a="1"/>
  <c r="H582" i="3" s="1"/>
  <c r="H1007" i="3" a="1"/>
  <c r="H1007" i="3" s="1"/>
  <c r="H1102" i="3" a="1"/>
  <c r="H1102" i="3" s="1"/>
  <c r="H173" i="3" a="1"/>
  <c r="H173" i="3" s="1"/>
  <c r="H799" i="3" a="1"/>
  <c r="H799" i="3" s="1"/>
  <c r="H1061" i="3" a="1"/>
  <c r="H1061" i="3" s="1"/>
  <c r="H721" i="3" a="1"/>
  <c r="H721" i="3" s="1"/>
  <c r="H619" i="3" a="1"/>
  <c r="H619" i="3" s="1"/>
  <c r="H413" i="3" a="1"/>
  <c r="H413" i="3" s="1"/>
  <c r="H824" i="3" a="1"/>
  <c r="H824" i="3" s="1"/>
  <c r="H1077" i="3" a="1"/>
  <c r="H1077" i="3" s="1"/>
  <c r="H1097" i="3" a="1"/>
  <c r="H1097" i="3" s="1"/>
  <c r="H429" i="3" a="1"/>
  <c r="H429" i="3" s="1"/>
  <c r="H644" i="3" a="1"/>
  <c r="H644" i="3" s="1"/>
  <c r="H181" i="3" a="1"/>
  <c r="H181" i="3" s="1"/>
  <c r="H581" i="3" a="1"/>
  <c r="H581" i="3" s="1"/>
  <c r="H592" i="3" a="1"/>
  <c r="H592" i="3" s="1"/>
  <c r="H671" i="3" a="1"/>
  <c r="H671" i="3" s="1"/>
  <c r="H613" i="3" a="1"/>
  <c r="H613" i="3" s="1"/>
  <c r="H893" i="3" a="1"/>
  <c r="H893" i="3" s="1"/>
  <c r="H149" i="3" a="1"/>
  <c r="H149" i="3" s="1"/>
  <c r="H699" i="3" a="1"/>
  <c r="H699" i="3" s="1"/>
  <c r="H710" i="3" a="1"/>
  <c r="H710" i="3" s="1"/>
  <c r="H801" i="3" a="1"/>
  <c r="H801" i="3" s="1"/>
  <c r="H731" i="3" a="1"/>
  <c r="H731" i="3" s="1"/>
  <c r="H1049" i="3" a="1"/>
  <c r="H1049" i="3" s="1"/>
  <c r="H133" i="3" a="1"/>
  <c r="H133" i="3" s="1"/>
  <c r="H738" i="3" a="1"/>
  <c r="H738" i="3" s="1"/>
  <c r="H759" i="3" a="1"/>
  <c r="H759" i="3" s="1"/>
  <c r="H812" i="3" a="1"/>
  <c r="H812" i="3" s="1"/>
  <c r="H972" i="3" a="1"/>
  <c r="H972" i="3" s="1"/>
  <c r="H926" i="3" a="1"/>
  <c r="H926" i="3" s="1"/>
  <c r="H544" i="3" a="1"/>
  <c r="H544" i="3" s="1"/>
  <c r="H890" i="3" a="1"/>
  <c r="H890" i="3" s="1"/>
  <c r="H653" i="3" a="1"/>
  <c r="H653" i="3" s="1"/>
  <c r="H1009" i="3" a="1"/>
  <c r="H1009" i="3" s="1"/>
  <c r="H772" i="3" a="1"/>
  <c r="H772" i="3" s="1"/>
  <c r="H654" i="3" a="1"/>
  <c r="H654" i="3" s="1"/>
  <c r="H1066" i="3" a="1"/>
  <c r="H1066" i="3" s="1"/>
  <c r="H743" i="3" a="1"/>
  <c r="H743" i="3" s="1"/>
  <c r="H665" i="3" a="1"/>
  <c r="H665" i="3" s="1"/>
  <c r="H408" i="3" a="1"/>
  <c r="H408" i="3" s="1"/>
  <c r="H927" i="3" a="1"/>
  <c r="H927" i="3" s="1"/>
  <c r="H628" i="3" a="1"/>
  <c r="H628" i="3" s="1"/>
  <c r="H848" i="3" a="1"/>
  <c r="H848" i="3" s="1"/>
  <c r="H1011" i="3" a="1"/>
  <c r="H1011" i="3" s="1"/>
  <c r="H302" i="3" a="1"/>
  <c r="H302" i="3" s="1"/>
  <c r="H141" i="3" a="1"/>
  <c r="H141" i="3" s="1"/>
  <c r="H491" i="3" a="1"/>
  <c r="H491" i="3" s="1"/>
  <c r="H709" i="3" a="1"/>
  <c r="H709" i="3" s="1"/>
  <c r="H1058" i="3" a="1"/>
  <c r="H1058" i="3" s="1"/>
  <c r="H720" i="3" a="1"/>
  <c r="H720" i="3" s="1"/>
  <c r="H1079" i="3" a="1"/>
  <c r="H1079" i="3" s="1"/>
  <c r="H790" i="3" a="1"/>
  <c r="H790" i="3" s="1"/>
  <c r="H389" i="3" a="1"/>
  <c r="H389" i="3" s="1"/>
  <c r="H564" i="3" a="1"/>
  <c r="H564" i="3" s="1"/>
  <c r="H905" i="3" a="1"/>
  <c r="H905" i="3" s="1"/>
  <c r="H702" i="3" a="1"/>
  <c r="H702" i="3" s="1"/>
  <c r="H1046" i="3" a="1"/>
  <c r="H1046" i="3" s="1"/>
  <c r="H836" i="3" a="1"/>
  <c r="H836" i="3" s="1"/>
  <c r="H664" i="3" a="1"/>
  <c r="H664" i="3" s="1"/>
  <c r="H1140" i="3" a="1"/>
  <c r="H1140" i="3" s="1"/>
  <c r="H753" i="3" a="1"/>
  <c r="H753" i="3" s="1"/>
  <c r="H675" i="3" a="1"/>
  <c r="H675" i="3" s="1"/>
  <c r="H416" i="3" a="1"/>
  <c r="H416" i="3" s="1"/>
  <c r="H1015" i="3" a="1"/>
  <c r="H1015" i="3" s="1"/>
  <c r="H677" i="3" a="1"/>
  <c r="H677" i="3" s="1"/>
  <c r="H880" i="3" a="1"/>
  <c r="H880" i="3" s="1"/>
  <c r="H1043" i="3" a="1"/>
  <c r="H1043" i="3" s="1"/>
  <c r="H397" i="3" a="1"/>
  <c r="H397" i="3" s="1"/>
  <c r="H583" i="3" a="1"/>
  <c r="H583" i="3" s="1"/>
  <c r="H921" i="3" a="1"/>
  <c r="H921" i="3" s="1"/>
  <c r="H712" i="3" a="1"/>
  <c r="H712" i="3" s="1"/>
  <c r="H1082" i="3" a="1"/>
  <c r="H1082" i="3" s="1"/>
  <c r="H922" i="3" a="1"/>
  <c r="H922" i="3" s="1"/>
  <c r="H684" i="3" a="1"/>
  <c r="H684" i="3" s="1"/>
  <c r="H455" i="3" a="1"/>
  <c r="H455" i="3" s="1"/>
  <c r="H783" i="3" a="1"/>
  <c r="H783" i="3" s="1"/>
  <c r="H685" i="3" a="1"/>
  <c r="H685" i="3" s="1"/>
  <c r="H424" i="3" a="1"/>
  <c r="H424" i="3" s="1"/>
  <c r="H1106" i="3" a="1"/>
  <c r="H1106" i="3" s="1"/>
  <c r="H841" i="3" a="1"/>
  <c r="H841" i="3" s="1"/>
  <c r="H936" i="3" a="1"/>
  <c r="H936" i="3" s="1"/>
  <c r="H1107" i="3" a="1"/>
  <c r="H1107" i="3" s="1"/>
  <c r="H938" i="3" a="1"/>
  <c r="H938" i="3" s="1"/>
  <c r="H713" i="3" a="1"/>
  <c r="H713" i="3" s="1"/>
  <c r="H463" i="3" a="1"/>
  <c r="H463" i="3" s="1"/>
  <c r="H894" i="3" a="1"/>
  <c r="H894" i="3" s="1"/>
  <c r="H744" i="3" a="1"/>
  <c r="H744" i="3" s="1"/>
  <c r="H448" i="3" a="1"/>
  <c r="H448" i="3" s="1"/>
  <c r="H1166" i="3" a="1"/>
  <c r="H1166" i="3" s="1"/>
  <c r="H855" i="3" a="1"/>
  <c r="H855" i="3" s="1"/>
  <c r="H944" i="3" a="1"/>
  <c r="H944" i="3" s="1"/>
  <c r="H1171" i="3" a="1"/>
  <c r="H1171" i="3" s="1"/>
  <c r="H751" i="3" a="1"/>
  <c r="H751" i="3" s="1"/>
  <c r="H1119" i="3" a="1"/>
  <c r="H1119" i="3" s="1"/>
  <c r="H974" i="3" a="1"/>
  <c r="H974" i="3" s="1"/>
  <c r="H723" i="3" a="1"/>
  <c r="H723" i="3" s="1"/>
  <c r="H471" i="3" a="1"/>
  <c r="H471" i="3" s="1"/>
  <c r="H925" i="3" a="1"/>
  <c r="H925" i="3" s="1"/>
  <c r="H805" i="3" a="1"/>
  <c r="H805" i="3" s="1"/>
  <c r="H480" i="3" a="1"/>
  <c r="H480" i="3" s="1"/>
  <c r="H1196" i="3" a="1"/>
  <c r="H1196" i="3" s="1"/>
  <c r="H929" i="3" a="1"/>
  <c r="H929" i="3" s="1"/>
  <c r="H976" i="3" a="1"/>
  <c r="H976" i="3" s="1"/>
  <c r="H1183" i="3" a="1"/>
  <c r="H1183" i="3" s="1"/>
  <c r="H1045" i="3" a="1"/>
  <c r="H1045" i="3" s="1"/>
  <c r="H771" i="3" a="1"/>
  <c r="H771" i="3" s="1"/>
  <c r="H1137" i="3" a="1"/>
  <c r="H1137" i="3" s="1"/>
  <c r="H1010" i="3" a="1"/>
  <c r="H1010" i="3" s="1"/>
  <c r="H733" i="3" a="1"/>
  <c r="H733" i="3" s="1"/>
  <c r="H479" i="3" a="1"/>
  <c r="H479" i="3" s="1"/>
  <c r="H941" i="3" a="1"/>
  <c r="H941" i="3" s="1"/>
  <c r="H826" i="3" a="1"/>
  <c r="H826" i="3" s="1"/>
  <c r="H504" i="3" a="1"/>
  <c r="H504" i="3" s="1"/>
  <c r="H607" i="3" a="1"/>
  <c r="H607" i="3" s="1"/>
  <c r="H999" i="3" a="1"/>
  <c r="H999" i="3" s="1"/>
  <c r="H1008" i="3" a="1"/>
  <c r="H1008" i="3" s="1"/>
  <c r="H620" i="3" a="1"/>
  <c r="H620" i="3" s="1"/>
  <c r="H175" i="3" a="1"/>
  <c r="H175" i="3" s="1"/>
  <c r="H47" i="3" a="1"/>
  <c r="H47" i="3" s="1"/>
  <c r="H442" i="3" a="1"/>
  <c r="H442" i="3" s="1"/>
  <c r="H788" i="3" a="1"/>
  <c r="H788" i="3" s="1"/>
  <c r="H246" i="3" a="1"/>
  <c r="H246" i="3" s="1"/>
  <c r="H118" i="3" a="1"/>
  <c r="H118" i="3" s="1"/>
  <c r="H918" i="3" a="1"/>
  <c r="H918" i="3" s="1"/>
  <c r="H378" i="3" a="1"/>
  <c r="H378" i="3" s="1"/>
  <c r="H778" i="3" a="1"/>
  <c r="H778" i="3" s="1"/>
  <c r="H237" i="3" a="1"/>
  <c r="H237" i="3" s="1"/>
  <c r="H101" i="3" a="1"/>
  <c r="H101" i="3" s="1"/>
  <c r="H532" i="3" a="1"/>
  <c r="H532" i="3" s="1"/>
  <c r="H831" i="3" a="1"/>
  <c r="H831" i="3" s="1"/>
  <c r="H1175" i="3" a="1"/>
  <c r="H1175" i="3" s="1"/>
  <c r="H833" i="3" a="1"/>
  <c r="H833" i="3" s="1"/>
  <c r="H1180" i="3" a="1"/>
  <c r="H1180" i="3" s="1"/>
  <c r="H876" i="3" a="1"/>
  <c r="H876" i="3" s="1"/>
  <c r="H437" i="3" a="1"/>
  <c r="H437" i="3" s="1"/>
  <c r="H672" i="3" a="1"/>
  <c r="H672" i="3" s="1"/>
  <c r="H1063" i="3" a="1"/>
  <c r="H1063" i="3" s="1"/>
  <c r="H781" i="3" a="1"/>
  <c r="H781" i="3" s="1"/>
  <c r="H1158" i="3" a="1"/>
  <c r="H1158" i="3" s="1"/>
  <c r="H1029" i="3" a="1"/>
  <c r="H1029" i="3" s="1"/>
  <c r="H762" i="3" a="1"/>
  <c r="H762" i="3" s="1"/>
  <c r="H495" i="3" a="1"/>
  <c r="H495" i="3" s="1"/>
  <c r="H958" i="3" a="1"/>
  <c r="H958" i="3" s="1"/>
  <c r="H838" i="3" a="1"/>
  <c r="H838" i="3" s="1"/>
  <c r="H512" i="3" a="1"/>
  <c r="H512" i="3" s="1"/>
  <c r="H637" i="3" a="1"/>
  <c r="H637" i="3" s="1"/>
  <c r="H1145" i="3" a="1"/>
  <c r="H1145" i="3" s="1"/>
  <c r="H1072" i="3" a="1"/>
  <c r="H1072" i="3" s="1"/>
  <c r="H426" i="3" a="1"/>
  <c r="H426" i="3" s="1"/>
  <c r="H72" i="3" a="1"/>
  <c r="H72" i="3" s="1"/>
  <c r="H591" i="3" a="1"/>
  <c r="H591" i="3" s="1"/>
  <c r="H316" i="3" a="1"/>
  <c r="H316" i="3" s="1"/>
  <c r="H337" i="3" a="1"/>
  <c r="H337" i="3" s="1"/>
  <c r="H167" i="3" a="1"/>
  <c r="H167" i="3" s="1"/>
  <c r="H39" i="3" a="1"/>
  <c r="H39" i="3" s="1"/>
  <c r="H428" i="3" a="1"/>
  <c r="H428" i="3" s="1"/>
  <c r="H737" i="3" a="1"/>
  <c r="H737" i="3" s="1"/>
  <c r="H238" i="3" a="1"/>
  <c r="H238" i="3" s="1"/>
  <c r="H110" i="3" a="1"/>
  <c r="H110" i="3" s="1"/>
  <c r="H844" i="3" a="1"/>
  <c r="H844" i="3" s="1"/>
  <c r="H367" i="3" a="1"/>
  <c r="H367" i="3" s="1"/>
  <c r="H728" i="3" a="1"/>
  <c r="H728" i="3" s="1"/>
  <c r="H229" i="3" a="1"/>
  <c r="H229" i="3" s="1"/>
  <c r="H93" i="3" a="1"/>
  <c r="H93" i="3" s="1"/>
  <c r="H551" i="3" a="1"/>
  <c r="H551" i="3" s="1"/>
  <c r="H858" i="3" a="1"/>
  <c r="H858" i="3" s="1"/>
  <c r="H533" i="3" a="1"/>
  <c r="H533" i="3" s="1"/>
  <c r="H846" i="3" a="1"/>
  <c r="H846" i="3" s="1"/>
  <c r="H622" i="3" a="1"/>
  <c r="H622" i="3" s="1"/>
  <c r="H970" i="3" a="1"/>
  <c r="H970" i="3" s="1"/>
  <c r="H445" i="3" a="1"/>
  <c r="H445" i="3" s="1"/>
  <c r="H692" i="3" a="1"/>
  <c r="H692" i="3" s="1"/>
  <c r="H1081" i="3" a="1"/>
  <c r="H1081" i="3" s="1"/>
  <c r="H792" i="3" a="1"/>
  <c r="H792" i="3" s="1"/>
  <c r="H594" i="3" a="1"/>
  <c r="H594" i="3" s="1"/>
  <c r="H1047" i="3" a="1"/>
  <c r="H1047" i="3" s="1"/>
  <c r="H793" i="3" a="1"/>
  <c r="H793" i="3" s="1"/>
  <c r="H503" i="3" a="1"/>
  <c r="H503" i="3" s="1"/>
  <c r="H994" i="3" a="1"/>
  <c r="H994" i="3" s="1"/>
  <c r="H866" i="3" a="1"/>
  <c r="H866" i="3" s="1"/>
  <c r="H548" i="3" a="1"/>
  <c r="H548" i="3" s="1"/>
  <c r="H716" i="3" a="1"/>
  <c r="H716" i="3" s="1"/>
  <c r="H1198" i="3" a="1"/>
  <c r="H1198" i="3" s="1"/>
  <c r="H1104" i="3" a="1"/>
  <c r="H1104" i="3" s="1"/>
  <c r="H291" i="3" a="1"/>
  <c r="H291" i="3" s="1"/>
  <c r="H161" i="3" a="1"/>
  <c r="H161" i="3" s="1"/>
  <c r="H33" i="3" a="1"/>
  <c r="H33" i="3" s="1"/>
  <c r="H406" i="3" a="1"/>
  <c r="H406" i="3" s="1"/>
  <c r="H535" i="3" a="1"/>
  <c r="H535" i="3" s="1"/>
  <c r="H192" i="3" a="1"/>
  <c r="H192" i="3" s="1"/>
  <c r="H64" i="3" a="1"/>
  <c r="H64" i="3" s="1"/>
  <c r="H516" i="3" a="1"/>
  <c r="H516" i="3" s="1"/>
  <c r="H306" i="3" a="1"/>
  <c r="H306" i="3" s="1"/>
  <c r="H326" i="3" a="1"/>
  <c r="H326" i="3" s="1"/>
  <c r="H159" i="3" a="1"/>
  <c r="H159" i="3" s="1"/>
  <c r="H31" i="3" a="1"/>
  <c r="H31" i="3" s="1"/>
  <c r="H403" i="3" a="1"/>
  <c r="H403" i="3" s="1"/>
  <c r="H680" i="3" a="1"/>
  <c r="H680" i="3" s="1"/>
  <c r="H230" i="3" a="1"/>
  <c r="H230" i="3" s="1"/>
  <c r="H102" i="3" a="1"/>
  <c r="H102" i="3" s="1"/>
  <c r="H787" i="3" a="1"/>
  <c r="H787" i="3" s="1"/>
  <c r="H356" i="3" a="1"/>
  <c r="H356" i="3" s="1"/>
  <c r="H678" i="3" a="1"/>
  <c r="H678" i="3" s="1"/>
  <c r="H221" i="3" a="1"/>
  <c r="H221" i="3" s="1"/>
  <c r="H85" i="3" a="1"/>
  <c r="H85" i="3" s="1"/>
  <c r="H561" i="3" a="1"/>
  <c r="H561" i="3" s="1"/>
  <c r="H873" i="3" a="1"/>
  <c r="H873" i="3" s="1"/>
  <c r="H562" i="3" a="1"/>
  <c r="H562" i="3" s="1"/>
  <c r="H874" i="3" a="1"/>
  <c r="H874" i="3" s="1"/>
  <c r="H632" i="3" a="1"/>
  <c r="H632" i="3" s="1"/>
  <c r="H989" i="3" a="1"/>
  <c r="H989" i="3" s="1"/>
  <c r="H453" i="3" a="1"/>
  <c r="H453" i="3" s="1"/>
  <c r="H711" i="3" a="1"/>
  <c r="H711" i="3" s="1"/>
  <c r="H1100" i="3" a="1"/>
  <c r="H1100" i="3" s="1"/>
  <c r="H802" i="3" a="1"/>
  <c r="H802" i="3" s="1"/>
  <c r="H614" i="3" a="1"/>
  <c r="H614" i="3" s="1"/>
  <c r="H1084" i="3" a="1"/>
  <c r="H1084" i="3" s="1"/>
  <c r="H850" i="3" a="1"/>
  <c r="H850" i="3" s="1"/>
  <c r="H511" i="3" a="1"/>
  <c r="H511" i="3" s="1"/>
  <c r="H1031" i="3" a="1"/>
  <c r="H1031" i="3" s="1"/>
  <c r="H910" i="3" a="1"/>
  <c r="H910" i="3" s="1"/>
  <c r="H567" i="3" a="1"/>
  <c r="H567" i="3" s="1"/>
  <c r="H765" i="3" a="1"/>
  <c r="H765" i="3" s="1"/>
  <c r="H579" i="3" a="1"/>
  <c r="H579" i="3" s="1"/>
  <c r="H1136" i="3" a="1"/>
  <c r="H1136" i="3" s="1"/>
  <c r="H354" i="3" a="1"/>
  <c r="H354" i="3" s="1"/>
  <c r="H615" i="3" a="1"/>
  <c r="H615" i="3" s="1"/>
  <c r="H1068" i="3" a="1"/>
  <c r="H1068" i="3" s="1"/>
  <c r="H942" i="3" a="1"/>
  <c r="H942" i="3" s="1"/>
  <c r="H626" i="3" a="1"/>
  <c r="H626" i="3" s="1"/>
  <c r="H817" i="3" a="1"/>
  <c r="H817" i="3" s="1"/>
  <c r="H766" i="3" a="1"/>
  <c r="H766" i="3" s="1"/>
  <c r="H1185" i="3" a="1"/>
  <c r="H1185" i="3" s="1"/>
  <c r="H312" i="3" a="1"/>
  <c r="H312" i="3" s="1"/>
  <c r="H552" i="3" a="1"/>
  <c r="H552" i="3" s="1"/>
  <c r="H324" i="3" a="1"/>
  <c r="H324" i="3" s="1"/>
  <c r="H439" i="3" a="1"/>
  <c r="H439" i="3" s="1"/>
  <c r="H197" i="3" a="1"/>
  <c r="H197" i="3" s="1"/>
  <c r="H61" i="3" a="1"/>
  <c r="H61" i="3" s="1"/>
  <c r="H610" i="3" a="1"/>
  <c r="H610" i="3" s="1"/>
  <c r="H917" i="3" a="1"/>
  <c r="H917" i="3" s="1"/>
  <c r="H631" i="3" a="1"/>
  <c r="H631" i="3" s="1"/>
  <c r="H935" i="3" a="1"/>
  <c r="H935" i="3" s="1"/>
  <c r="H681" i="3" a="1"/>
  <c r="H681" i="3" s="1"/>
  <c r="H1044" i="3" a="1"/>
  <c r="H1044" i="3" s="1"/>
  <c r="H493" i="3" a="1"/>
  <c r="H493" i="3" s="1"/>
  <c r="H741" i="3" a="1"/>
  <c r="H741" i="3" s="1"/>
  <c r="H554" i="3" a="1"/>
  <c r="H554" i="3" s="1"/>
  <c r="H863" i="3" a="1"/>
  <c r="H863" i="3" s="1"/>
  <c r="H673" i="3" a="1"/>
  <c r="H673" i="3" s="1"/>
  <c r="H1159" i="3" a="1"/>
  <c r="H1159" i="3" s="1"/>
  <c r="H908" i="3" a="1"/>
  <c r="H908" i="3" s="1"/>
  <c r="H635" i="3" a="1"/>
  <c r="H635" i="3" s="1"/>
  <c r="H1141" i="3" a="1"/>
  <c r="H1141" i="3" s="1"/>
  <c r="H996" i="3" a="1"/>
  <c r="H996" i="3" s="1"/>
  <c r="H695" i="3" a="1"/>
  <c r="H695" i="3" s="1"/>
  <c r="H897" i="3" a="1"/>
  <c r="H897" i="3" s="1"/>
  <c r="H776" i="3" a="1"/>
  <c r="H776" i="3" s="1"/>
  <c r="H1154" i="3" a="1"/>
  <c r="H1154" i="3" s="1"/>
  <c r="H212" i="3" a="1"/>
  <c r="H212" i="3" s="1"/>
  <c r="H401" i="3" a="1"/>
  <c r="H401" i="3" s="1"/>
  <c r="H189" i="3" a="1"/>
  <c r="H189" i="3" s="1"/>
  <c r="H53" i="3" a="1"/>
  <c r="H53" i="3" s="1"/>
  <c r="H630" i="3" a="1"/>
  <c r="H630" i="3" s="1"/>
  <c r="H933" i="3" a="1"/>
  <c r="H933" i="3" s="1"/>
  <c r="H641" i="3" a="1"/>
  <c r="H641" i="3" s="1"/>
  <c r="H951" i="3" a="1"/>
  <c r="H951" i="3" s="1"/>
  <c r="H691" i="3" a="1"/>
  <c r="H691" i="3" s="1"/>
  <c r="H1098" i="3" a="1"/>
  <c r="H1098" i="3" s="1"/>
  <c r="H501" i="3" a="1"/>
  <c r="H501" i="3" s="1"/>
  <c r="H770" i="3" a="1"/>
  <c r="H770" i="3" s="1"/>
  <c r="H574" i="3" a="1"/>
  <c r="H574" i="3" s="1"/>
  <c r="H877" i="3" a="1"/>
  <c r="H877" i="3" s="1"/>
  <c r="H683" i="3" a="1"/>
  <c r="H683" i="3" s="1"/>
  <c r="H536" i="3" a="1"/>
  <c r="H536" i="3" s="1"/>
  <c r="H924" i="3" a="1"/>
  <c r="H924" i="3" s="1"/>
  <c r="H645" i="3" a="1"/>
  <c r="H645" i="3" s="1"/>
  <c r="H547" i="3" a="1"/>
  <c r="H547" i="3" s="1"/>
  <c r="H1087" i="3" a="1"/>
  <c r="H1087" i="3" s="1"/>
  <c r="H754" i="3" a="1"/>
  <c r="H754" i="3" s="1"/>
  <c r="H1034" i="3" a="1"/>
  <c r="H1034" i="3" s="1"/>
  <c r="H818" i="3" a="1"/>
  <c r="H818" i="3" s="1"/>
  <c r="H851" i="3" a="1"/>
  <c r="H851" i="3" s="1"/>
  <c r="H148" i="3" a="1"/>
  <c r="H148" i="3" s="1"/>
  <c r="H45" i="3" a="1"/>
  <c r="H45" i="3" s="1"/>
  <c r="H640" i="3" a="1"/>
  <c r="H640" i="3" s="1"/>
  <c r="H967" i="3" a="1"/>
  <c r="H967" i="3" s="1"/>
  <c r="H651" i="3" a="1"/>
  <c r="H651" i="3" s="1"/>
  <c r="H969" i="3" a="1"/>
  <c r="H969" i="3" s="1"/>
  <c r="H701" i="3" a="1"/>
  <c r="H701" i="3" s="1"/>
  <c r="H1117" i="3" a="1"/>
  <c r="H1117" i="3" s="1"/>
  <c r="H509" i="3" a="1"/>
  <c r="H509" i="3" s="1"/>
  <c r="H823" i="3" a="1"/>
  <c r="H823" i="3" s="1"/>
  <c r="H584" i="3" a="1"/>
  <c r="H584" i="3" s="1"/>
  <c r="H954" i="3" a="1"/>
  <c r="H954" i="3" s="1"/>
  <c r="H722" i="3" a="1"/>
  <c r="H722" i="3" s="1"/>
  <c r="H585" i="3" a="1"/>
  <c r="H585" i="3" s="1"/>
  <c r="H957" i="3" a="1"/>
  <c r="H957" i="3" s="1"/>
  <c r="H674" i="3" a="1"/>
  <c r="H674" i="3" s="1"/>
  <c r="H586" i="3" a="1"/>
  <c r="H586" i="3" s="1"/>
  <c r="H1124" i="3" a="1"/>
  <c r="H1124" i="3" s="1"/>
  <c r="H827" i="3" a="1"/>
  <c r="H827" i="3" s="1"/>
  <c r="H1108" i="3" a="1"/>
  <c r="H1108" i="3" s="1"/>
  <c r="H964" i="3" a="1"/>
  <c r="H964" i="3" s="1"/>
  <c r="H883" i="3" a="1"/>
  <c r="H883" i="3" s="1"/>
  <c r="H84" i="3" a="1"/>
  <c r="H84" i="3" s="1"/>
  <c r="H750" i="3" a="1"/>
  <c r="H750" i="3" s="1"/>
  <c r="H1135" i="3" a="1"/>
  <c r="H1135" i="3" s="1"/>
  <c r="H517" i="3" a="1"/>
  <c r="H517" i="3" s="1"/>
  <c r="H834" i="3" a="1"/>
  <c r="H834" i="3" s="1"/>
  <c r="H604" i="3" a="1"/>
  <c r="H604" i="3" s="1"/>
  <c r="H973" i="3" a="1"/>
  <c r="H973" i="3" s="1"/>
  <c r="H742" i="3" a="1"/>
  <c r="H742" i="3" s="1"/>
  <c r="H595" i="3" a="1"/>
  <c r="H595" i="3" s="1"/>
  <c r="H975" i="3" a="1"/>
  <c r="H975" i="3" s="1"/>
  <c r="H694" i="3" a="1"/>
  <c r="H694" i="3" s="1"/>
  <c r="H606" i="3" a="1"/>
  <c r="H606" i="3" s="1"/>
  <c r="H1142" i="3" a="1"/>
  <c r="H1142" i="3" s="1"/>
  <c r="H839" i="3" a="1"/>
  <c r="H839" i="3" s="1"/>
  <c r="H1197" i="3" a="1"/>
  <c r="H1197" i="3" s="1"/>
  <c r="H1110" i="3" a="1"/>
  <c r="H1110" i="3" s="1"/>
  <c r="H915" i="3" a="1"/>
  <c r="H915" i="3" s="1"/>
  <c r="H20" i="3" a="1"/>
  <c r="H20" i="3" s="1"/>
  <c r="H320" i="3" a="1"/>
  <c r="H320" i="3" s="1"/>
  <c r="H146" i="3" a="1"/>
  <c r="H146" i="3" s="1"/>
  <c r="H885" i="3" a="1"/>
  <c r="H885" i="3" s="1"/>
  <c r="H340" i="3" a="1"/>
  <c r="H340" i="3" s="1"/>
  <c r="H539" i="3" a="1"/>
  <c r="H539" i="3" s="1"/>
  <c r="H233" i="3" a="1"/>
  <c r="H233" i="3" s="1"/>
  <c r="H105" i="3" a="1"/>
  <c r="H105" i="3" s="1"/>
  <c r="H698" i="3" a="1"/>
  <c r="H698" i="3" s="1"/>
  <c r="H307" i="3" a="1"/>
  <c r="H307" i="3" s="1"/>
  <c r="H275" i="3" a="1"/>
  <c r="H275" i="3" s="1"/>
  <c r="H136" i="3" a="1"/>
  <c r="H136" i="3" s="1"/>
  <c r="H8" i="3" a="1"/>
  <c r="H8" i="3" s="1"/>
  <c r="H418" i="3" a="1"/>
  <c r="H418" i="3" s="1"/>
  <c r="H934" i="3" a="1"/>
  <c r="H934" i="3" s="1"/>
  <c r="H231" i="3" a="1"/>
  <c r="H231" i="3" s="1"/>
  <c r="H103" i="3" a="1"/>
  <c r="H103" i="3" s="1"/>
  <c r="H789" i="3" a="1"/>
  <c r="H789" i="3" s="1"/>
  <c r="H293" i="3" a="1"/>
  <c r="H293" i="3" s="1"/>
  <c r="H415" i="3" a="1"/>
  <c r="H415" i="3" s="1"/>
  <c r="H174" i="3" a="1"/>
  <c r="H174" i="3" s="1"/>
  <c r="H46" i="3" a="1"/>
  <c r="H46" i="3" s="1"/>
  <c r="H482" i="3" a="1"/>
  <c r="H482" i="3" s="1"/>
  <c r="H282" i="3" a="1"/>
  <c r="H282" i="3" s="1"/>
  <c r="H345" i="3" a="1"/>
  <c r="H345" i="3" s="1"/>
  <c r="H165" i="3" a="1"/>
  <c r="H165" i="3" s="1"/>
  <c r="H21" i="3" a="1"/>
  <c r="H21" i="3" s="1"/>
  <c r="H689" i="3" a="1"/>
  <c r="H689" i="3" s="1"/>
  <c r="H1004" i="3" a="1"/>
  <c r="H1004" i="3" s="1"/>
  <c r="H690" i="3" a="1"/>
  <c r="H690" i="3" s="1"/>
  <c r="H1006" i="3" a="1"/>
  <c r="H1006" i="3" s="1"/>
  <c r="H760" i="3" a="1"/>
  <c r="H760" i="3" s="1"/>
  <c r="H1156" i="3" a="1"/>
  <c r="H1156" i="3" s="1"/>
  <c r="H525" i="3" a="1"/>
  <c r="H525" i="3" s="1"/>
  <c r="H862" i="3" a="1"/>
  <c r="H862" i="3" s="1"/>
  <c r="H643" i="3" a="1"/>
  <c r="H643" i="3" s="1"/>
  <c r="H991" i="3" a="1"/>
  <c r="H991" i="3" s="1"/>
  <c r="H752" i="3" a="1"/>
  <c r="H752" i="3" s="1"/>
  <c r="H634" i="3" a="1"/>
  <c r="H634" i="3" s="1"/>
  <c r="H993" i="3" a="1"/>
  <c r="H993" i="3" s="1"/>
  <c r="H724" i="3" a="1"/>
  <c r="H724" i="3" s="1"/>
  <c r="H616" i="3" a="1"/>
  <c r="H616" i="3" s="1"/>
  <c r="H1165" i="3" a="1"/>
  <c r="H1165" i="3" s="1"/>
  <c r="H853" i="3" a="1"/>
  <c r="H853" i="3" s="1"/>
  <c r="H549" i="3" a="1"/>
  <c r="H549" i="3" s="1"/>
  <c r="H1148" i="3" a="1"/>
  <c r="H1148" i="3" s="1"/>
  <c r="H979" i="3" a="1"/>
  <c r="H979" i="3" s="1"/>
  <c r="H492" i="3" a="1"/>
  <c r="H492" i="3" s="1"/>
  <c r="H1064" i="3" a="1"/>
  <c r="H1064" i="3" s="1"/>
  <c r="H1192" i="3" a="1"/>
  <c r="H1192" i="3" s="1"/>
  <c r="H843" i="3" a="1"/>
  <c r="H843" i="3" s="1"/>
  <c r="H971" i="3" a="1"/>
  <c r="H971" i="3" s="1"/>
  <c r="H1099" i="3" a="1"/>
  <c r="H1099" i="3" s="1"/>
  <c r="H1206" i="3" a="1"/>
  <c r="H1206" i="3" s="1"/>
  <c r="H438" i="3" a="1"/>
  <c r="H438" i="3" s="1"/>
  <c r="H375" i="3" a="1"/>
  <c r="H375" i="3" s="1"/>
  <c r="H344" i="3" a="1"/>
  <c r="H344" i="3" s="1"/>
  <c r="H156" i="3" a="1"/>
  <c r="H156" i="3" s="1"/>
  <c r="H28" i="3" a="1"/>
  <c r="H28" i="3" s="1"/>
  <c r="H828" i="3" a="1"/>
  <c r="H828" i="3" s="1"/>
  <c r="H578" i="3" a="1"/>
  <c r="H578" i="3" s="1"/>
  <c r="H869" i="3" a="1"/>
  <c r="H869" i="3" s="1"/>
  <c r="H540" i="3" a="1"/>
  <c r="H540" i="3" s="1"/>
  <c r="H786" i="3" a="1"/>
  <c r="H786" i="3" s="1"/>
  <c r="H1172" i="3" a="1"/>
  <c r="H1172" i="3" s="1"/>
  <c r="H952" i="3" a="1"/>
  <c r="H952" i="3" s="1"/>
  <c r="H1080" i="3" a="1"/>
  <c r="H1080" i="3" s="1"/>
  <c r="H1161" i="3" a="1"/>
  <c r="H1161" i="3" s="1"/>
  <c r="H859" i="3" a="1"/>
  <c r="H859" i="3" s="1"/>
  <c r="H987" i="3" a="1"/>
  <c r="H987" i="3" s="1"/>
  <c r="H1115" i="3" a="1"/>
  <c r="H1115" i="3" s="1"/>
  <c r="H1191" i="3" a="1"/>
  <c r="H1191" i="3" s="1"/>
  <c r="H412" i="3" a="1"/>
  <c r="H412" i="3" s="1"/>
  <c r="H269" i="3" a="1"/>
  <c r="H269" i="3" s="1"/>
  <c r="H270" i="3" a="1"/>
  <c r="H270" i="3" s="1"/>
  <c r="H140" i="3" a="1"/>
  <c r="H140" i="3" s="1"/>
  <c r="H12" i="3" a="1"/>
  <c r="H12" i="3" s="1"/>
  <c r="H1012" i="3" a="1"/>
  <c r="H1012" i="3" s="1"/>
  <c r="H519" i="3" a="1"/>
  <c r="H519" i="3" s="1"/>
  <c r="H763" i="3" a="1"/>
  <c r="H763" i="3" s="1"/>
  <c r="H1086" i="3" a="1"/>
  <c r="H1086" i="3" s="1"/>
  <c r="H714" i="3" a="1"/>
  <c r="H714" i="3" s="1"/>
  <c r="H959" i="3" a="1"/>
  <c r="H959" i="3" s="1"/>
  <c r="H432" i="3" a="1"/>
  <c r="H432" i="3" s="1"/>
  <c r="H587" i="3" a="1"/>
  <c r="H587" i="3" s="1"/>
  <c r="H868" i="3" a="1"/>
  <c r="H868" i="3" s="1"/>
  <c r="H617" i="3" a="1"/>
  <c r="H617" i="3" s="1"/>
  <c r="H854" i="3" a="1"/>
  <c r="H854" i="3" s="1"/>
  <c r="H598" i="3" a="1"/>
  <c r="H598" i="3" s="1"/>
  <c r="H884" i="3" a="1"/>
  <c r="H884" i="3" s="1"/>
  <c r="H559" i="3" a="1"/>
  <c r="H559" i="3" s="1"/>
  <c r="H797" i="3" a="1"/>
  <c r="H797" i="3" s="1"/>
  <c r="H832" i="3" a="1"/>
  <c r="H832" i="3" s="1"/>
  <c r="H960" i="3" a="1"/>
  <c r="H960" i="3" s="1"/>
  <c r="H1088" i="3" a="1"/>
  <c r="H1088" i="3" s="1"/>
  <c r="H1169" i="3" a="1"/>
  <c r="H1169" i="3" s="1"/>
  <c r="H867" i="3" a="1"/>
  <c r="H867" i="3" s="1"/>
  <c r="H995" i="3" a="1"/>
  <c r="H995" i="3" s="1"/>
  <c r="H1123" i="3" a="1"/>
  <c r="H1123" i="3" s="1"/>
  <c r="H1199" i="3" a="1"/>
  <c r="H1199" i="3" s="1"/>
  <c r="H387" i="3" a="1"/>
  <c r="H387" i="3" s="1"/>
  <c r="H1094" i="3" a="1"/>
  <c r="H1094" i="3" s="1"/>
  <c r="H260" i="3" a="1"/>
  <c r="H260" i="3" s="1"/>
  <c r="H132" i="3" a="1"/>
  <c r="H132" i="3" s="1"/>
  <c r="H5" i="3" a="1"/>
  <c r="H5" i="3" s="1"/>
  <c r="H803" i="3" a="1"/>
  <c r="H803" i="3" s="1"/>
  <c r="H1188" i="3" a="1"/>
  <c r="H1188" i="3" s="1"/>
  <c r="H782" i="3" a="1"/>
  <c r="H782" i="3" s="1"/>
  <c r="H1030" i="3" a="1"/>
  <c r="H1030" i="3" s="1"/>
  <c r="H527" i="3" a="1"/>
  <c r="H527" i="3" s="1"/>
  <c r="H773" i="3" a="1"/>
  <c r="H773" i="3" s="1"/>
  <c r="H1122" i="3" a="1"/>
  <c r="H1122" i="3" s="1"/>
  <c r="H734" i="3" a="1"/>
  <c r="H734" i="3" s="1"/>
  <c r="H977" i="3" a="1"/>
  <c r="H977" i="3" s="1"/>
  <c r="H440" i="3" a="1"/>
  <c r="H440" i="3" s="1"/>
  <c r="H597" i="3" a="1"/>
  <c r="H597" i="3" s="1"/>
  <c r="H911" i="3" a="1"/>
  <c r="H911" i="3" s="1"/>
  <c r="H627" i="3" a="1"/>
  <c r="H627" i="3" s="1"/>
  <c r="H882" i="3" a="1"/>
  <c r="H882" i="3" s="1"/>
  <c r="H608" i="3" a="1"/>
  <c r="H608" i="3" s="1"/>
  <c r="H913" i="3" a="1"/>
  <c r="H913" i="3" s="1"/>
  <c r="H569" i="3" a="1"/>
  <c r="H569" i="3" s="1"/>
  <c r="H808" i="3" a="1"/>
  <c r="H808" i="3" s="1"/>
  <c r="H840" i="3" a="1"/>
  <c r="H840" i="3" s="1"/>
  <c r="H968" i="3" a="1"/>
  <c r="H968" i="3" s="1"/>
  <c r="H1096" i="3" a="1"/>
  <c r="H1096" i="3" s="1"/>
  <c r="H1177" i="3" a="1"/>
  <c r="H1177" i="3" s="1"/>
  <c r="H875" i="3" a="1"/>
  <c r="H875" i="3" s="1"/>
  <c r="H1003" i="3" a="1"/>
  <c r="H1003" i="3" s="1"/>
  <c r="H1131" i="3" a="1"/>
  <c r="H1131" i="3" s="1"/>
  <c r="H1207" i="3" a="1"/>
  <c r="H1207" i="3" s="1"/>
  <c r="H365" i="3" a="1"/>
  <c r="H365" i="3" s="1"/>
  <c r="H1001" i="3" a="1"/>
  <c r="H1001" i="3" s="1"/>
  <c r="H252" i="3" a="1"/>
  <c r="H252" i="3" s="1"/>
  <c r="H124" i="3" a="1"/>
  <c r="H124" i="3" s="1"/>
  <c r="H1093" i="3" a="1"/>
  <c r="H1093" i="3" s="1"/>
  <c r="H1139" i="3" a="1"/>
  <c r="H1139" i="3" s="1"/>
  <c r="H914" i="3" a="1"/>
  <c r="H914" i="3" s="1"/>
  <c r="H355" i="3" a="1"/>
  <c r="H355" i="3" s="1"/>
  <c r="H902" i="3" a="1"/>
  <c r="H902" i="3" s="1"/>
  <c r="H244" i="3" a="1"/>
  <c r="H244" i="3" s="1"/>
  <c r="H116" i="3" a="1"/>
  <c r="H116" i="3" s="1"/>
  <c r="H718" i="3" a="1"/>
  <c r="H718" i="3" s="1"/>
  <c r="H461" i="3" a="1"/>
  <c r="H461" i="3" s="1"/>
  <c r="H642" i="3" a="1"/>
  <c r="H642" i="3" s="1"/>
  <c r="H937" i="3" a="1"/>
  <c r="H937" i="3" s="1"/>
  <c r="H623" i="3" a="1"/>
  <c r="H623" i="3" s="1"/>
  <c r="H835" i="3" a="1"/>
  <c r="H835" i="3" s="1"/>
  <c r="H555" i="3" a="1"/>
  <c r="H555" i="3" s="1"/>
  <c r="H878" i="3" a="1"/>
  <c r="H878" i="3" s="1"/>
  <c r="H556" i="3" a="1"/>
  <c r="H556" i="3" s="1"/>
  <c r="H804" i="3" a="1"/>
  <c r="H804" i="3" s="1"/>
  <c r="H1085" i="3" a="1"/>
  <c r="H1085" i="3" s="1"/>
  <c r="H566" i="3" a="1"/>
  <c r="H566" i="3" s="1"/>
  <c r="H815" i="3" a="1"/>
  <c r="H815" i="3" s="1"/>
  <c r="H1164" i="3" a="1"/>
  <c r="H1164" i="3" s="1"/>
  <c r="H764" i="3" a="1"/>
  <c r="H764" i="3" s="1"/>
  <c r="H1014" i="3" a="1"/>
  <c r="H1014" i="3" s="1"/>
  <c r="H456" i="3" a="1"/>
  <c r="H456" i="3" s="1"/>
  <c r="H646" i="3" a="1"/>
  <c r="H646" i="3" s="1"/>
  <c r="H943" i="3" a="1"/>
  <c r="H943" i="3" s="1"/>
  <c r="H666" i="3" a="1"/>
  <c r="H666" i="3" s="1"/>
  <c r="H961" i="3" a="1"/>
  <c r="H961" i="3" s="1"/>
  <c r="H647" i="3" a="1"/>
  <c r="H647" i="3" s="1"/>
  <c r="H945" i="3" a="1"/>
  <c r="H945" i="3" s="1"/>
  <c r="H589" i="3" a="1"/>
  <c r="H589" i="3" s="1"/>
  <c r="H829" i="3" a="1"/>
  <c r="H829" i="3" s="1"/>
  <c r="H856" i="3" a="1"/>
  <c r="H856" i="3" s="1"/>
  <c r="H984" i="3" a="1"/>
  <c r="H984" i="3" s="1"/>
  <c r="H1112" i="3" a="1"/>
  <c r="H1112" i="3" s="1"/>
  <c r="H1193" i="3" a="1"/>
  <c r="H1193" i="3" s="1"/>
  <c r="H891" i="3" a="1"/>
  <c r="H891" i="3" s="1"/>
  <c r="H1019" i="3" a="1"/>
  <c r="H1019" i="3" s="1"/>
  <c r="H1147" i="3" a="1"/>
  <c r="H1147" i="3" s="1"/>
  <c r="H777" i="3" a="1"/>
  <c r="H777" i="3" s="1"/>
  <c r="H333" i="3" a="1"/>
  <c r="H333" i="3" s="1"/>
  <c r="H830" i="3" a="1"/>
  <c r="H830" i="3" s="1"/>
  <c r="H236" i="3" a="1"/>
  <c r="H236" i="3" s="1"/>
  <c r="H108" i="3" a="1"/>
  <c r="H108" i="3" s="1"/>
  <c r="H611" i="3" a="1"/>
  <c r="H611" i="3" s="1"/>
  <c r="H1113" i="3" a="1"/>
  <c r="H1113" i="3" s="1"/>
  <c r="H740" i="3" a="1"/>
  <c r="H740" i="3" s="1"/>
  <c r="H1042" i="3" a="1"/>
  <c r="H1042" i="3" s="1"/>
  <c r="H730" i="3" a="1"/>
  <c r="H730" i="3" s="1"/>
  <c r="H1062" i="3" a="1"/>
  <c r="H1062" i="3" s="1"/>
  <c r="H469" i="3" a="1"/>
  <c r="H469" i="3" s="1"/>
  <c r="H662" i="3" a="1"/>
  <c r="H662" i="3" s="1"/>
  <c r="H953" i="3" a="1"/>
  <c r="H953" i="3" s="1"/>
  <c r="H633" i="3" a="1"/>
  <c r="H633" i="3" s="1"/>
  <c r="H849" i="3" a="1"/>
  <c r="H849" i="3" s="1"/>
  <c r="H565" i="3" a="1"/>
  <c r="H565" i="3" s="1"/>
  <c r="H906" i="3" a="1"/>
  <c r="H906" i="3" s="1"/>
  <c r="H575" i="3" a="1"/>
  <c r="H575" i="3" s="1"/>
  <c r="H814" i="3" a="1"/>
  <c r="H814" i="3" s="1"/>
  <c r="H1103" i="3" a="1"/>
  <c r="H1103" i="3" s="1"/>
  <c r="H576" i="3" a="1"/>
  <c r="H576" i="3" s="1"/>
  <c r="H837" i="3" a="1"/>
  <c r="H837" i="3" s="1"/>
  <c r="H1190" i="3" a="1"/>
  <c r="H1190" i="3" s="1"/>
  <c r="H784" i="3" a="1"/>
  <c r="H784" i="3" s="1"/>
  <c r="H1050" i="3" a="1"/>
  <c r="H1050" i="3" s="1"/>
  <c r="H464" i="3" a="1"/>
  <c r="H464" i="3" s="1"/>
  <c r="H656" i="3" a="1"/>
  <c r="H656" i="3" s="1"/>
  <c r="H978" i="3" a="1"/>
  <c r="H978" i="3" s="1"/>
  <c r="H686" i="3" a="1"/>
  <c r="H686" i="3" s="1"/>
  <c r="H980" i="3" a="1"/>
  <c r="H980" i="3" s="1"/>
  <c r="H657" i="3" a="1"/>
  <c r="H657" i="3" s="1"/>
  <c r="H962" i="3" a="1"/>
  <c r="H962" i="3" s="1"/>
  <c r="H618" i="3" a="1"/>
  <c r="H618" i="3" s="1"/>
  <c r="H870" i="3" a="1"/>
  <c r="H870" i="3" s="1"/>
  <c r="H864" i="3" a="1"/>
  <c r="H864" i="3" s="1"/>
  <c r="H992" i="3" a="1"/>
  <c r="H992" i="3" s="1"/>
  <c r="H1120" i="3" a="1"/>
  <c r="H1120" i="3" s="1"/>
  <c r="H1201" i="3" a="1"/>
  <c r="H1201" i="3" s="1"/>
  <c r="H899" i="3" a="1"/>
  <c r="H899" i="3" s="1"/>
  <c r="H1027" i="3" a="1"/>
  <c r="H1027" i="3" s="1"/>
  <c r="H1155" i="3" a="1"/>
  <c r="H1155" i="3" s="1"/>
  <c r="H727" i="3" a="1"/>
  <c r="H727" i="3" s="1"/>
  <c r="H323" i="3" a="1"/>
  <c r="H323" i="3" s="1"/>
  <c r="H719" i="3" a="1"/>
  <c r="H719" i="3" s="1"/>
  <c r="H228" i="3" a="1"/>
  <c r="H228" i="3" s="1"/>
  <c r="H100" i="3" a="1"/>
  <c r="H100" i="3" s="1"/>
  <c r="H545" i="3" a="1"/>
  <c r="H545" i="3" s="1"/>
  <c r="H825" i="3" a="1"/>
  <c r="H825" i="3" s="1"/>
  <c r="H1121" i="3" a="1"/>
  <c r="H1121" i="3" s="1"/>
  <c r="H596" i="3" a="1"/>
  <c r="H596" i="3" s="1"/>
  <c r="H852" i="3" a="1"/>
  <c r="H852" i="3" s="1"/>
  <c r="H537" i="3" a="1"/>
  <c r="H537" i="3" s="1"/>
  <c r="H794" i="3" a="1"/>
  <c r="H794" i="3" s="1"/>
  <c r="H1069" i="3" a="1"/>
  <c r="H1069" i="3" s="1"/>
  <c r="H472" i="3" a="1"/>
  <c r="H472" i="3" s="1"/>
  <c r="H676" i="3" a="1"/>
  <c r="H676" i="3" s="1"/>
  <c r="H997" i="3" a="1"/>
  <c r="H997" i="3" s="1"/>
  <c r="H696" i="3" a="1"/>
  <c r="H696" i="3" s="1"/>
  <c r="H998" i="3" a="1"/>
  <c r="H998" i="3" s="1"/>
  <c r="H667" i="3" a="1"/>
  <c r="H667" i="3" s="1"/>
  <c r="H981" i="3" a="1"/>
  <c r="H981" i="3" s="1"/>
  <c r="H638" i="3" a="1"/>
  <c r="H638" i="3" s="1"/>
  <c r="H898" i="3" a="1"/>
  <c r="H898" i="3" s="1"/>
  <c r="H872" i="3" a="1"/>
  <c r="H872" i="3" s="1"/>
  <c r="H1000" i="3" a="1"/>
  <c r="H1000" i="3" s="1"/>
  <c r="H1128" i="3" a="1"/>
  <c r="H1128" i="3" s="1"/>
  <c r="H1146" i="3" a="1"/>
  <c r="H1146" i="3" s="1"/>
  <c r="H907" i="3" a="1"/>
  <c r="H907" i="3" s="1"/>
  <c r="H1035" i="3" a="1"/>
  <c r="H1035" i="3" s="1"/>
  <c r="H1163" i="3" a="1"/>
  <c r="H1163" i="3" s="1"/>
  <c r="H670" i="3" a="1"/>
  <c r="H670" i="3" s="1"/>
  <c r="H301" i="3" a="1"/>
  <c r="H301" i="3" s="1"/>
  <c r="H669" i="3" a="1"/>
  <c r="H669" i="3" s="1"/>
  <c r="H220" i="3" a="1"/>
  <c r="H220" i="3" s="1"/>
  <c r="H92" i="3" a="1"/>
  <c r="H92" i="3" s="1"/>
  <c r="H508" i="3" a="1"/>
  <c r="H508" i="3" s="1"/>
  <c r="H1026" i="3" a="1"/>
  <c r="H1026" i="3" s="1"/>
  <c r="H682" i="3" a="1"/>
  <c r="H682" i="3" s="1"/>
  <c r="H892" i="3" a="1"/>
  <c r="H892" i="3" s="1"/>
  <c r="H624" i="3" a="1"/>
  <c r="H624" i="3" s="1"/>
  <c r="H956" i="3" a="1"/>
  <c r="H956" i="3" s="1"/>
  <c r="H605" i="3" a="1"/>
  <c r="H605" i="3" s="1"/>
  <c r="H865" i="3" a="1"/>
  <c r="H865" i="3" s="1"/>
  <c r="H1189" i="3" a="1"/>
  <c r="H1189" i="3" s="1"/>
  <c r="H625" i="3" a="1"/>
  <c r="H625" i="3" s="1"/>
  <c r="H909" i="3" a="1"/>
  <c r="H909" i="3" s="1"/>
  <c r="H557" i="3" a="1"/>
  <c r="H557" i="3" s="1"/>
  <c r="H816" i="3" a="1"/>
  <c r="H816" i="3" s="1"/>
  <c r="H1105" i="3" a="1"/>
  <c r="H1105" i="3" s="1"/>
  <c r="H488" i="3" a="1"/>
  <c r="H488" i="3" s="1"/>
  <c r="H705" i="3" a="1"/>
  <c r="H705" i="3" s="1"/>
  <c r="H1033" i="3" a="1"/>
  <c r="H1033" i="3" s="1"/>
  <c r="H735" i="3" a="1"/>
  <c r="H735" i="3" s="1"/>
  <c r="H1053" i="3" a="1"/>
  <c r="H1053" i="3" s="1"/>
  <c r="H706" i="3" a="1"/>
  <c r="H706" i="3" s="1"/>
  <c r="H1017" i="3" a="1"/>
  <c r="H1017" i="3" s="1"/>
  <c r="H668" i="3" a="1"/>
  <c r="H668" i="3" s="1"/>
  <c r="H982" i="3" a="1"/>
  <c r="H982" i="3" s="1"/>
  <c r="H888" i="3" a="1"/>
  <c r="H888" i="3" s="1"/>
  <c r="H1016" i="3" a="1"/>
  <c r="H1016" i="3" s="1"/>
  <c r="H1144" i="3" a="1"/>
  <c r="H1144" i="3" s="1"/>
  <c r="H1162" i="3" a="1"/>
  <c r="H1162" i="3" s="1"/>
  <c r="H923" i="3" a="1"/>
  <c r="H923" i="3" s="1"/>
  <c r="H1051" i="3" a="1"/>
  <c r="H1051" i="3" s="1"/>
  <c r="H1179" i="3" a="1"/>
  <c r="H1179" i="3" s="1"/>
  <c r="H550" i="3" a="1"/>
  <c r="H550" i="3" s="1"/>
  <c r="H281" i="3" a="1"/>
  <c r="H281" i="3" s="1"/>
  <c r="H580" i="3" a="1"/>
  <c r="H580" i="3" s="1"/>
  <c r="H204" i="3" a="1"/>
  <c r="H204" i="3" s="1"/>
  <c r="H76" i="3" a="1"/>
  <c r="H76" i="3" s="1"/>
  <c r="H436" i="3" a="1"/>
  <c r="H436" i="3" s="1"/>
  <c r="H496" i="3" a="1"/>
  <c r="H496" i="3" s="1"/>
  <c r="H715" i="3" a="1"/>
  <c r="H715" i="3" s="1"/>
  <c r="H1052" i="3" a="1"/>
  <c r="H1052" i="3" s="1"/>
  <c r="H745" i="3" a="1"/>
  <c r="H745" i="3" s="1"/>
  <c r="H1071" i="3" a="1"/>
  <c r="H1071" i="3" s="1"/>
  <c r="H726" i="3" a="1"/>
  <c r="H726" i="3" s="1"/>
  <c r="H1036" i="3" a="1"/>
  <c r="H1036" i="3" s="1"/>
  <c r="H687" i="3" a="1"/>
  <c r="H687" i="3" s="1"/>
  <c r="H1018" i="3" a="1"/>
  <c r="H1018" i="3" s="1"/>
  <c r="H896" i="3" a="1"/>
  <c r="H896" i="3" s="1"/>
  <c r="H1024" i="3" a="1"/>
  <c r="H1024" i="3" s="1"/>
  <c r="H1152" i="3" a="1"/>
  <c r="H1152" i="3" s="1"/>
  <c r="H1170" i="3" a="1"/>
  <c r="H1170" i="3" s="1"/>
  <c r="H931" i="3" a="1"/>
  <c r="H931" i="3" s="1"/>
  <c r="H1059" i="3" a="1"/>
  <c r="H1059" i="3" s="1"/>
  <c r="H1187" i="3" a="1"/>
  <c r="H1187" i="3" s="1"/>
  <c r="H526" i="3" a="1"/>
  <c r="H526" i="3" s="1"/>
  <c r="H271" i="3" a="1"/>
  <c r="H271" i="3" s="1"/>
  <c r="H478" i="3" a="1"/>
  <c r="H478" i="3" s="1"/>
  <c r="H196" i="3" a="1"/>
  <c r="H196" i="3" s="1"/>
  <c r="H68" i="3" a="1"/>
  <c r="H68" i="3" s="1"/>
  <c r="H411" i="3" a="1"/>
  <c r="H411" i="3" s="1"/>
  <c r="H725" i="3" a="1"/>
  <c r="H725" i="3" s="1"/>
  <c r="H1070" i="3" a="1"/>
  <c r="H1070" i="3" s="1"/>
  <c r="H755" i="3" a="1"/>
  <c r="H755" i="3" s="1"/>
  <c r="H1089" i="3" a="1"/>
  <c r="H1089" i="3" s="1"/>
  <c r="H736" i="3" a="1"/>
  <c r="H736" i="3" s="1"/>
  <c r="H1054" i="3" a="1"/>
  <c r="H1054" i="3" s="1"/>
  <c r="H697" i="3" a="1"/>
  <c r="H697" i="3" s="1"/>
  <c r="H1037" i="3" a="1"/>
  <c r="H1037" i="3" s="1"/>
  <c r="H904" i="3" a="1"/>
  <c r="H904" i="3" s="1"/>
  <c r="H1032" i="3" a="1"/>
  <c r="H1032" i="3" s="1"/>
  <c r="H1160" i="3" a="1"/>
  <c r="H1160" i="3" s="1"/>
  <c r="H1178" i="3" a="1"/>
  <c r="H1178" i="3" s="1"/>
  <c r="H939" i="3" a="1"/>
  <c r="H939" i="3" s="1"/>
  <c r="H1067" i="3" a="1"/>
  <c r="H1067" i="3" s="1"/>
  <c r="H1195" i="3" a="1"/>
  <c r="H1195" i="3" s="1"/>
  <c r="H510" i="3" a="1"/>
  <c r="H510" i="3" s="1"/>
  <c r="H986" i="3" a="1"/>
  <c r="H986" i="3" s="1"/>
  <c r="H465" i="3" a="1"/>
  <c r="H465" i="3" s="1"/>
  <c r="H188" i="3" a="1"/>
  <c r="H188" i="3" s="1"/>
  <c r="H60" i="3" a="1"/>
  <c r="H60" i="3" s="1"/>
  <c r="H386" i="3" a="1"/>
  <c r="H386" i="3" s="1"/>
  <c r="H756" i="3" a="1"/>
  <c r="H756" i="3" s="1"/>
  <c r="H1090" i="3" a="1"/>
  <c r="H1090" i="3" s="1"/>
  <c r="H707" i="3" a="1"/>
  <c r="H707" i="3" s="1"/>
  <c r="H1055" i="3" a="1"/>
  <c r="H1055" i="3" s="1"/>
  <c r="H912" i="3" a="1"/>
  <c r="H912" i="3" s="1"/>
  <c r="H1040" i="3" a="1"/>
  <c r="H1040" i="3" s="1"/>
  <c r="H1168" i="3" a="1"/>
  <c r="H1168" i="3" s="1"/>
  <c r="H1186" i="3" a="1"/>
  <c r="H1186" i="3" s="1"/>
  <c r="H947" i="3" a="1"/>
  <c r="H947" i="3" s="1"/>
  <c r="H1075" i="3" a="1"/>
  <c r="H1075" i="3" s="1"/>
  <c r="H1203" i="3" a="1"/>
  <c r="H1203" i="3" s="1"/>
  <c r="H494" i="3" a="1"/>
  <c r="H494" i="3" s="1"/>
  <c r="H524" i="3" a="1"/>
  <c r="H524" i="3" s="1"/>
  <c r="H425" i="3" a="1"/>
  <c r="H425" i="3" s="1"/>
  <c r="H180" i="3" a="1"/>
  <c r="H180" i="3" s="1"/>
  <c r="H52" i="3" a="1"/>
  <c r="H52" i="3" s="1"/>
  <c r="H364" i="3" a="1"/>
  <c r="H364" i="3" s="1"/>
  <c r="H636" i="3" a="1"/>
  <c r="H636" i="3" s="1"/>
  <c r="H881" i="3" a="1"/>
  <c r="H881" i="3" s="1"/>
  <c r="H392" i="3" a="1"/>
  <c r="H392" i="3" s="1"/>
  <c r="H520" i="3" a="1"/>
  <c r="H520" i="3" s="1"/>
  <c r="H774" i="3" a="1"/>
  <c r="H774" i="3" s="1"/>
  <c r="H1125" i="3" a="1"/>
  <c r="H1125" i="3" s="1"/>
  <c r="H785" i="3" a="1"/>
  <c r="H785" i="3" s="1"/>
  <c r="H1126" i="3" a="1"/>
  <c r="H1126" i="3" s="1"/>
  <c r="H775" i="3" a="1"/>
  <c r="H775" i="3" s="1"/>
  <c r="H1109" i="3" a="1"/>
  <c r="H1109" i="3" s="1"/>
  <c r="H717" i="3" a="1"/>
  <c r="H717" i="3" s="1"/>
  <c r="H1073" i="3" a="1"/>
  <c r="H1073" i="3" s="1"/>
  <c r="H920" i="3" a="1"/>
  <c r="H920" i="3" s="1"/>
  <c r="H1048" i="3" a="1"/>
  <c r="H1048" i="3" s="1"/>
  <c r="H1176" i="3" a="1"/>
  <c r="H1176" i="3" s="1"/>
  <c r="H1194" i="3" a="1"/>
  <c r="H1194" i="3" s="1"/>
  <c r="H955" i="3" a="1"/>
  <c r="H955" i="3" s="1"/>
  <c r="H1083" i="3" a="1"/>
  <c r="H1083" i="3" s="1"/>
  <c r="H1204" i="3" a="1"/>
  <c r="H1204" i="3" s="1"/>
  <c r="H466" i="3" a="1"/>
  <c r="H466" i="3" s="1"/>
  <c r="H450" i="3" a="1"/>
  <c r="H450" i="3" s="1"/>
  <c r="H399" i="3" a="1"/>
  <c r="H399" i="3" s="1"/>
  <c r="H172" i="3" a="1"/>
  <c r="H172" i="3" s="1"/>
  <c r="H44" i="3" a="1"/>
  <c r="H44" i="3" s="1"/>
  <c r="H1078" i="3" a="1"/>
  <c r="H1078" i="3" s="1"/>
  <c r="H300" i="3" a="1"/>
  <c r="H300" i="3" s="1"/>
  <c r="H423" i="3" a="1"/>
  <c r="H423" i="3" s="1"/>
  <c r="H211" i="3" a="1"/>
  <c r="H211" i="3" s="1"/>
  <c r="H131" i="3" a="1"/>
  <c r="H131" i="3" s="1"/>
  <c r="H67" i="3" a="1"/>
  <c r="H67" i="3" s="1"/>
  <c r="H385" i="3" a="1"/>
  <c r="H385" i="3" s="1"/>
  <c r="H900" i="3" a="1"/>
  <c r="H900" i="3" s="1"/>
  <c r="H289" i="3" a="1"/>
  <c r="H289" i="3" s="1"/>
  <c r="H203" i="3" a="1"/>
  <c r="H203" i="3" s="1"/>
  <c r="H4" i="3" a="1"/>
  <c r="H4" i="3" s="1"/>
  <c r="H187" i="3" a="1"/>
  <c r="H187" i="3" s="1"/>
  <c r="H821" i="3" a="1"/>
  <c r="H821" i="3" s="1"/>
  <c r="H280" i="3" a="1"/>
  <c r="H280" i="3" s="1"/>
  <c r="H195" i="3" a="1"/>
  <c r="H195" i="3" s="1"/>
  <c r="H123" i="3" a="1"/>
  <c r="H123" i="3" s="1"/>
  <c r="H59" i="3" a="1"/>
  <c r="H59" i="3" s="1"/>
  <c r="H279" i="3" a="1"/>
  <c r="H279" i="3" s="1"/>
  <c r="H767" i="3" a="1"/>
  <c r="H767" i="3" s="1"/>
  <c r="H374" i="3" a="1"/>
  <c r="H374" i="3" s="1"/>
  <c r="H179" i="3" a="1"/>
  <c r="H179" i="3" s="1"/>
  <c r="H115" i="3" a="1"/>
  <c r="H115" i="3" s="1"/>
  <c r="H51" i="3" a="1"/>
  <c r="H51" i="3" s="1"/>
  <c r="H462" i="3" a="1"/>
  <c r="H462" i="3" s="1"/>
  <c r="H43" i="3" a="1"/>
  <c r="H43" i="3" s="1"/>
  <c r="H353" i="3" a="1"/>
  <c r="H353" i="3" s="1"/>
  <c r="H259" i="3" a="1"/>
  <c r="H259" i="3" s="1"/>
  <c r="H171" i="3" a="1"/>
  <c r="H171" i="3" s="1"/>
  <c r="H107" i="3" a="1"/>
  <c r="H107" i="3" s="1"/>
  <c r="H163" i="3" a="1"/>
  <c r="H163" i="3" s="1"/>
  <c r="H573" i="3" a="1"/>
  <c r="H573" i="3" s="1"/>
  <c r="H343" i="3" a="1"/>
  <c r="H343" i="3" s="1"/>
  <c r="H342" i="3" a="1"/>
  <c r="H342" i="3" s="1"/>
  <c r="H99" i="3" a="1"/>
  <c r="H99" i="3" s="1"/>
  <c r="H543" i="3" a="1"/>
  <c r="H543" i="3" s="1"/>
  <c r="H251" i="3" a="1"/>
  <c r="H251" i="3" s="1"/>
  <c r="H35" i="3" a="1"/>
  <c r="H35" i="3" s="1"/>
  <c r="H332" i="3" a="1"/>
  <c r="H332" i="3" s="1"/>
  <c r="H91" i="3" a="1"/>
  <c r="H91" i="3" s="1"/>
  <c r="H243" i="3" a="1"/>
  <c r="H243" i="3" s="1"/>
  <c r="H155" i="3" a="1"/>
  <c r="H155" i="3" s="1"/>
  <c r="H27" i="3" a="1"/>
  <c r="H27" i="3" s="1"/>
  <c r="H322" i="3" a="1"/>
  <c r="H322" i="3" s="1"/>
  <c r="H311" i="3" a="1"/>
  <c r="H311" i="3" s="1"/>
  <c r="H476" i="3" a="1"/>
  <c r="H476" i="3" s="1"/>
  <c r="H321" i="3" a="1"/>
  <c r="H321" i="3" s="1"/>
  <c r="H235" i="3" a="1"/>
  <c r="H235" i="3" s="1"/>
  <c r="H147" i="3" a="1"/>
  <c r="H147" i="3" s="1"/>
  <c r="H83" i="3" a="1"/>
  <c r="H83" i="3" s="1"/>
  <c r="H19" i="3" a="1"/>
  <c r="H19" i="3" s="1"/>
  <c r="H449" i="3" a="1"/>
  <c r="H449" i="3" s="1"/>
  <c r="H310" i="3" a="1"/>
  <c r="H310" i="3" s="1"/>
  <c r="H227" i="3" a="1"/>
  <c r="H227" i="3" s="1"/>
  <c r="H139" i="3" a="1"/>
  <c r="H139" i="3" s="1"/>
  <c r="H75" i="3" a="1"/>
  <c r="H75" i="3" s="1"/>
  <c r="H11" i="3" a="1"/>
  <c r="H11" i="3" s="1"/>
  <c r="H219" i="3" a="1"/>
  <c r="H219" i="3" s="1"/>
  <c r="H313" i="3" a="1"/>
  <c r="H313" i="3" s="1"/>
  <c r="H157" i="3" a="1"/>
  <c r="H157" i="3" s="1"/>
  <c r="H29" i="3" a="1"/>
  <c r="H29" i="3" s="1"/>
  <c r="H660" i="3" a="1"/>
  <c r="H660" i="3" s="1"/>
  <c r="H949" i="3" a="1"/>
  <c r="H949" i="3" s="1"/>
  <c r="H612" i="3" a="1"/>
  <c r="H612" i="3" s="1"/>
  <c r="H889" i="3" a="1"/>
  <c r="H889" i="3" s="1"/>
  <c r="H602" i="3" a="1"/>
  <c r="H602" i="3" s="1"/>
  <c r="H847" i="3" a="1"/>
  <c r="H847" i="3" s="1"/>
  <c r="H405" i="3" a="1"/>
  <c r="H405" i="3" s="1"/>
  <c r="H534" i="3" a="1"/>
  <c r="H534" i="3" s="1"/>
  <c r="H791" i="3" a="1"/>
  <c r="H791" i="3" s="1"/>
  <c r="H1118" i="3" a="1"/>
  <c r="H1118" i="3" s="1"/>
  <c r="H761" i="3" a="1"/>
  <c r="H761" i="3" s="1"/>
  <c r="H1028" i="3" a="1"/>
  <c r="H1028" i="3" s="1"/>
  <c r="H693" i="3" a="1"/>
  <c r="H693" i="3" s="1"/>
  <c r="H1065" i="3" a="1"/>
  <c r="H1065" i="3" s="1"/>
  <c r="H703" i="3" a="1"/>
  <c r="H703" i="3" s="1"/>
  <c r="H940" i="3" a="1"/>
  <c r="H940" i="3" s="1"/>
  <c r="H487" i="3" a="1"/>
  <c r="H487" i="3" s="1"/>
  <c r="H704" i="3" a="1"/>
  <c r="H704" i="3" s="1"/>
  <c r="H1013" i="3" a="1"/>
  <c r="H1013" i="3" s="1"/>
  <c r="H655" i="3" a="1"/>
  <c r="H655" i="3" s="1"/>
  <c r="H895" i="3" a="1"/>
  <c r="H895" i="3" s="1"/>
  <c r="H400" i="3" a="1"/>
  <c r="H400" i="3" s="1"/>
  <c r="H528" i="3" a="1"/>
  <c r="H528" i="3" s="1"/>
  <c r="H795" i="3" a="1"/>
  <c r="H795" i="3" s="1"/>
  <c r="H1143" i="3" a="1"/>
  <c r="H1143" i="3" s="1"/>
  <c r="H796" i="3" a="1"/>
  <c r="H796" i="3" s="1"/>
  <c r="H1167" i="3" a="1"/>
  <c r="H1167" i="3" s="1"/>
  <c r="H807" i="3" a="1"/>
  <c r="H807" i="3" s="1"/>
  <c r="H1127" i="3" a="1"/>
  <c r="H1127" i="3" s="1"/>
  <c r="H746" i="3" a="1"/>
  <c r="H746" i="3" s="1"/>
  <c r="H1092" i="3" a="1"/>
  <c r="H1092" i="3" s="1"/>
  <c r="H928" i="3" a="1"/>
  <c r="H928" i="3" s="1"/>
  <c r="H1056" i="3" a="1"/>
  <c r="H1056" i="3" s="1"/>
  <c r="H1184" i="3" a="1"/>
  <c r="H1184" i="3" s="1"/>
  <c r="H1202" i="3" a="1"/>
  <c r="H1202" i="3" s="1"/>
  <c r="H963" i="3" a="1"/>
  <c r="H963" i="3" s="1"/>
  <c r="H1091" i="3" a="1"/>
  <c r="H1091" i="3" s="1"/>
  <c r="H1205" i="3" a="1"/>
  <c r="H1205" i="3" s="1"/>
  <c r="H451" i="3" a="1"/>
  <c r="H451" i="3" s="1"/>
  <c r="H398" i="3" a="1"/>
  <c r="H398" i="3" s="1"/>
  <c r="H376" i="3" a="1"/>
  <c r="H376" i="3" s="1"/>
  <c r="H164" i="3" a="1"/>
  <c r="H164" i="3" s="1"/>
  <c r="H36" i="3" a="1"/>
  <c r="H36" i="3" s="1"/>
  <c r="H1002" i="3" a="1"/>
  <c r="H100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<sst xmlns="http://schemas.openxmlformats.org/spreadsheetml/2006/main" count="12160" uniqueCount="1615">
  <si>
    <t>ID_Facture</t>
  </si>
  <si>
    <t>Date</t>
  </si>
  <si>
    <t>Fournisseur</t>
  </si>
  <si>
    <t>Ingredient</t>
  </si>
  <si>
    <t>Quantite_Livree</t>
  </si>
  <si>
    <t>Unite</t>
  </si>
  <si>
    <t>Prix_Unitaire_HT</t>
  </si>
  <si>
    <t>FAC-5000</t>
  </si>
  <si>
    <t>01/01/2024</t>
  </si>
  <si>
    <t>Metro Cash</t>
  </si>
  <si>
    <t>Coca Cola 24x33cl</t>
  </si>
  <si>
    <t>pack 24</t>
  </si>
  <si>
    <t>FAC-5001</t>
  </si>
  <si>
    <t>METRO CASH</t>
  </si>
  <si>
    <t>7up 24x33cl</t>
  </si>
  <si>
    <t>FAC-5002</t>
  </si>
  <si>
    <t>Sel kg</t>
  </si>
  <si>
    <t>kg</t>
  </si>
  <si>
    <t>FAC-5003</t>
  </si>
  <si>
    <t>LEGUMEX</t>
  </si>
  <si>
    <t>Tomates pelées 3kg</t>
  </si>
  <si>
    <t>boite 3kg</t>
  </si>
  <si>
    <t>FAC-5004</t>
  </si>
  <si>
    <t>Legumex SARL</t>
  </si>
  <si>
    <t>Huile olive 5L</t>
  </si>
  <si>
    <t>bidon 5L</t>
  </si>
  <si>
    <t>FAC-5005</t>
  </si>
  <si>
    <t>Legumex</t>
  </si>
  <si>
    <t>Sauce tomate 5kg</t>
  </si>
  <si>
    <t>seau 5kg</t>
  </si>
  <si>
    <t>FAC-5006</t>
  </si>
  <si>
    <t>02/01/2024</t>
  </si>
  <si>
    <t>Boucherie halal pro</t>
  </si>
  <si>
    <t>Viande hachée 1kg</t>
  </si>
  <si>
    <t>FAC-5007</t>
  </si>
  <si>
    <t>Poulet émincé 1kg</t>
  </si>
  <si>
    <t>FAC-5008</t>
  </si>
  <si>
    <t>Boulangerie express</t>
  </si>
  <si>
    <t>Pain burger x12</t>
  </si>
  <si>
    <t>paquet x12</t>
  </si>
  <si>
    <t>FAC-5009</t>
  </si>
  <si>
    <t>Boulangerie Express</t>
  </si>
  <si>
    <t>Pain pita x10</t>
  </si>
  <si>
    <t>paquet x10</t>
  </si>
  <si>
    <t>FAC-5010</t>
  </si>
  <si>
    <t>03/01/2024</t>
  </si>
  <si>
    <t>Légumex</t>
  </si>
  <si>
    <t>FAC-5011</t>
  </si>
  <si>
    <t>FAC-5012</t>
  </si>
  <si>
    <t>FAC-5013</t>
  </si>
  <si>
    <t>Moulin du Nord</t>
  </si>
  <si>
    <t>Farine 25kg</t>
  </si>
  <si>
    <t>sac 25kg</t>
  </si>
  <si>
    <t>FAC-5014</t>
  </si>
  <si>
    <t>Fromagerie centrale</t>
  </si>
  <si>
    <t>Mozzarella 1kg</t>
  </si>
  <si>
    <t>FAC-5015</t>
  </si>
  <si>
    <t>04/01/2024</t>
  </si>
  <si>
    <t>FAC-5016</t>
  </si>
  <si>
    <t>Métro Cash</t>
  </si>
  <si>
    <t>FAC-5017</t>
  </si>
  <si>
    <t>Metro</t>
  </si>
  <si>
    <t>FAC-5018</t>
  </si>
  <si>
    <t>05/01/2024</t>
  </si>
  <si>
    <t>Boucherie Halal Pro</t>
  </si>
  <si>
    <t>FAC-5019</t>
  </si>
  <si>
    <t>B. Halal Pro</t>
  </si>
  <si>
    <t>FAC-5020</t>
  </si>
  <si>
    <t>FAC-5021</t>
  </si>
  <si>
    <t>Boul. Express</t>
  </si>
  <si>
    <t>FAC-5022</t>
  </si>
  <si>
    <t>06/01/2024</t>
  </si>
  <si>
    <t>FAC-5023</t>
  </si>
  <si>
    <t>08/01/2024</t>
  </si>
  <si>
    <t>FAC-5024</t>
  </si>
  <si>
    <t>FAC-5025</t>
  </si>
  <si>
    <t>FAC-5026</t>
  </si>
  <si>
    <t>FAC-5027</t>
  </si>
  <si>
    <t>FAC-5028</t>
  </si>
  <si>
    <t>FAC-5029</t>
  </si>
  <si>
    <t>09/01/2024</t>
  </si>
  <si>
    <t>FAC-5030</t>
  </si>
  <si>
    <t>FAC-5031</t>
  </si>
  <si>
    <t>BOULANGERIE EXPRESS</t>
  </si>
  <si>
    <t>FAC-5032</t>
  </si>
  <si>
    <t>FAC-5033</t>
  </si>
  <si>
    <t>10/01/2024</t>
  </si>
  <si>
    <t>FAC-5034</t>
  </si>
  <si>
    <t>FAC-5035</t>
  </si>
  <si>
    <t>FAC-5036</t>
  </si>
  <si>
    <t>Moulins du Nord</t>
  </si>
  <si>
    <t>FAC-5037</t>
  </si>
  <si>
    <t>fromagerie centrale</t>
  </si>
  <si>
    <t>FAC-5038</t>
  </si>
  <si>
    <t>11/01/2024</t>
  </si>
  <si>
    <t>FAC-5039</t>
  </si>
  <si>
    <t>FAC-5040</t>
  </si>
  <si>
    <t>Metro cash</t>
  </si>
  <si>
    <t>FAC-5041</t>
  </si>
  <si>
    <t>12/01/2024</t>
  </si>
  <si>
    <t>Boucherie Halal PRO</t>
  </si>
  <si>
    <t>FAC-5042</t>
  </si>
  <si>
    <t>FAC-5043</t>
  </si>
  <si>
    <t>FAC-5044</t>
  </si>
  <si>
    <t>FAC-5045</t>
  </si>
  <si>
    <t>13/01/2024</t>
  </si>
  <si>
    <t>FAC-5046</t>
  </si>
  <si>
    <t>15/01/2024</t>
  </si>
  <si>
    <t>FAC-5047</t>
  </si>
  <si>
    <t>FAC-5048</t>
  </si>
  <si>
    <t>FAC-5049</t>
  </si>
  <si>
    <t>FAC-5050</t>
  </si>
  <si>
    <t>FAC-5051</t>
  </si>
  <si>
    <t>FAC-5052</t>
  </si>
  <si>
    <t>16/01/2024</t>
  </si>
  <si>
    <t>FAC-5053</t>
  </si>
  <si>
    <t>FAC-5054</t>
  </si>
  <si>
    <t>FAC-5055</t>
  </si>
  <si>
    <t>FAC-5056</t>
  </si>
  <si>
    <t>17/01/2024</t>
  </si>
  <si>
    <t>FAC-5057</t>
  </si>
  <si>
    <t>FAC-5058</t>
  </si>
  <si>
    <t>FAC-5059</t>
  </si>
  <si>
    <t>FAC-5060</t>
  </si>
  <si>
    <t>FAC-5061</t>
  </si>
  <si>
    <t>18/01/2024</t>
  </si>
  <si>
    <t>FAC-5062</t>
  </si>
  <si>
    <t>FAC-5063</t>
  </si>
  <si>
    <t>FAC-5064</t>
  </si>
  <si>
    <t>19/01/2024</t>
  </si>
  <si>
    <t>FAC-5065</t>
  </si>
  <si>
    <t>FAC-5066</t>
  </si>
  <si>
    <t>FAC-5067</t>
  </si>
  <si>
    <t>FAC-5068</t>
  </si>
  <si>
    <t>20/01/2024</t>
  </si>
  <si>
    <t>FAC-5069</t>
  </si>
  <si>
    <t>22/01/2024</t>
  </si>
  <si>
    <t>FAC-5070</t>
  </si>
  <si>
    <t>FAC-5071</t>
  </si>
  <si>
    <t>FAC-5072</t>
  </si>
  <si>
    <t>FAC-5073</t>
  </si>
  <si>
    <t>FAC-5074</t>
  </si>
  <si>
    <t>FAC-5075</t>
  </si>
  <si>
    <t>23/01/2024</t>
  </si>
  <si>
    <t>FAC-5076</t>
  </si>
  <si>
    <t>FAC-5077</t>
  </si>
  <si>
    <t>FAC-5078</t>
  </si>
  <si>
    <t>FAC-5079</t>
  </si>
  <si>
    <t>24/01/2024</t>
  </si>
  <si>
    <t>FAC-5080</t>
  </si>
  <si>
    <t>FAC-5081</t>
  </si>
  <si>
    <t>FAC-5082</t>
  </si>
  <si>
    <t>MOULINS DU NORD</t>
  </si>
  <si>
    <t>FAC-5083</t>
  </si>
  <si>
    <t>Fromagerie Centrale</t>
  </si>
  <si>
    <t>FAC-5084</t>
  </si>
  <si>
    <t>25/01/2024</t>
  </si>
  <si>
    <t>FAC-5085</t>
  </si>
  <si>
    <t>FAC-5086</t>
  </si>
  <si>
    <t>FAC-5087</t>
  </si>
  <si>
    <t>26/01/2024</t>
  </si>
  <si>
    <t>FAC-5088</t>
  </si>
  <si>
    <t>FAC-5089</t>
  </si>
  <si>
    <t>FAC-5090</t>
  </si>
  <si>
    <t>FAC-5091</t>
  </si>
  <si>
    <t>27/01/2024</t>
  </si>
  <si>
    <t>FAC-5092</t>
  </si>
  <si>
    <t>29/01/2024</t>
  </si>
  <si>
    <t>FAC-5093</t>
  </si>
  <si>
    <t>FAC-5094</t>
  </si>
  <si>
    <t>FAC-5095</t>
  </si>
  <si>
    <t>FAC-5096</t>
  </si>
  <si>
    <t>FAC-5097</t>
  </si>
  <si>
    <t>FAC-5098</t>
  </si>
  <si>
    <t>30/01/2024</t>
  </si>
  <si>
    <t>FAC-5099</t>
  </si>
  <si>
    <t>FAC-5100</t>
  </si>
  <si>
    <t>FAC-5101</t>
  </si>
  <si>
    <t>FAC-5102</t>
  </si>
  <si>
    <t>31/01/2024</t>
  </si>
  <si>
    <t>FAC-5103</t>
  </si>
  <si>
    <t>FAC-5104</t>
  </si>
  <si>
    <t>FAC-5105</t>
  </si>
  <si>
    <t>FAC-5106</t>
  </si>
  <si>
    <t>FAC-5107</t>
  </si>
  <si>
    <t>01/02/2024</t>
  </si>
  <si>
    <t>FAC-5108</t>
  </si>
  <si>
    <t>FAC-5109</t>
  </si>
  <si>
    <t>FAC-5110</t>
  </si>
  <si>
    <t>02/02/2024</t>
  </si>
  <si>
    <t>FAC-5111</t>
  </si>
  <si>
    <t>FAC-5112</t>
  </si>
  <si>
    <t>FAC-5113</t>
  </si>
  <si>
    <t>FAC-5114</t>
  </si>
  <si>
    <t>03/02/2024</t>
  </si>
  <si>
    <t>Fromag. Centrale</t>
  </si>
  <si>
    <t>FAC-5115</t>
  </si>
  <si>
    <t>05/02/2024</t>
  </si>
  <si>
    <t>FAC-5116</t>
  </si>
  <si>
    <t>FAC-5117</t>
  </si>
  <si>
    <t>FAC-5118</t>
  </si>
  <si>
    <t>FAC-5119</t>
  </si>
  <si>
    <t>FAC-5120</t>
  </si>
  <si>
    <t>FAC-5121</t>
  </si>
  <si>
    <t>06/02/2024</t>
  </si>
  <si>
    <t>FAC-5122</t>
  </si>
  <si>
    <t>FAC-5123</t>
  </si>
  <si>
    <t>FAC-5124</t>
  </si>
  <si>
    <t>FAC-5125</t>
  </si>
  <si>
    <t>07/02/2024</t>
  </si>
  <si>
    <t>FAC-5126</t>
  </si>
  <si>
    <t>FAC-5127</t>
  </si>
  <si>
    <t>FAC-5128</t>
  </si>
  <si>
    <t>FAC-5129</t>
  </si>
  <si>
    <t>FAC-5130</t>
  </si>
  <si>
    <t>08/02/2024</t>
  </si>
  <si>
    <t>FAC-5131</t>
  </si>
  <si>
    <t>FAC-5132</t>
  </si>
  <si>
    <t>FAC-5133</t>
  </si>
  <si>
    <t>09/02/2024</t>
  </si>
  <si>
    <t>FAC-5134</t>
  </si>
  <si>
    <t>FAC-5135</t>
  </si>
  <si>
    <t>FAC-5136</t>
  </si>
  <si>
    <t>FAC-5137</t>
  </si>
  <si>
    <t>10/02/2024</t>
  </si>
  <si>
    <t>FAC-5138</t>
  </si>
  <si>
    <t>12/02/2024</t>
  </si>
  <si>
    <t>FAC-5139</t>
  </si>
  <si>
    <t>FAC-5140</t>
  </si>
  <si>
    <t>FAC-5141</t>
  </si>
  <si>
    <t>FAC-5142</t>
  </si>
  <si>
    <t>FAC-5143</t>
  </si>
  <si>
    <t>FAC-5144</t>
  </si>
  <si>
    <t>13/02/2024</t>
  </si>
  <si>
    <t>FAC-5145</t>
  </si>
  <si>
    <t>FAC-5146</t>
  </si>
  <si>
    <t>FAC-5147</t>
  </si>
  <si>
    <t>FAC-5148</t>
  </si>
  <si>
    <t>14/02/2024</t>
  </si>
  <si>
    <t>FAC-5149</t>
  </si>
  <si>
    <t>FAC-5150</t>
  </si>
  <si>
    <t>FAC-5151</t>
  </si>
  <si>
    <t>Moulins Du Nord</t>
  </si>
  <si>
    <t>FAC-5152</t>
  </si>
  <si>
    <t>FAC-5153</t>
  </si>
  <si>
    <t>15/02/2024</t>
  </si>
  <si>
    <t>FAC-5154</t>
  </si>
  <si>
    <t>FAC-5155</t>
  </si>
  <si>
    <t>FAC-5156</t>
  </si>
  <si>
    <t>16/02/2024</t>
  </si>
  <si>
    <t>FAC-5157</t>
  </si>
  <si>
    <t>FAC-5158</t>
  </si>
  <si>
    <t>FAC-5159</t>
  </si>
  <si>
    <t>FAC-5160</t>
  </si>
  <si>
    <t>17/02/2024</t>
  </si>
  <si>
    <t>FAC-5161</t>
  </si>
  <si>
    <t>19/02/2024</t>
  </si>
  <si>
    <t>FAC-5162</t>
  </si>
  <si>
    <t>FAC-5163</t>
  </si>
  <si>
    <t>FAC-5164</t>
  </si>
  <si>
    <t>FAC-5165</t>
  </si>
  <si>
    <t>FAC-5166</t>
  </si>
  <si>
    <t>FAC-5167</t>
  </si>
  <si>
    <t>20/02/2024</t>
  </si>
  <si>
    <t>FAC-5168</t>
  </si>
  <si>
    <t>FAC-5169</t>
  </si>
  <si>
    <t>FAC-5170</t>
  </si>
  <si>
    <t>FAC-5171</t>
  </si>
  <si>
    <t>21/02/2024</t>
  </si>
  <si>
    <t>FAC-5172</t>
  </si>
  <si>
    <t>FAC-5173</t>
  </si>
  <si>
    <t>FAC-5174</t>
  </si>
  <si>
    <t>FAC-5175</t>
  </si>
  <si>
    <t>FAC-5176</t>
  </si>
  <si>
    <t>22/02/2024</t>
  </si>
  <si>
    <t>FAC-5177</t>
  </si>
  <si>
    <t>FAC-5178</t>
  </si>
  <si>
    <t>FAC-5179</t>
  </si>
  <si>
    <t>23/02/2024</t>
  </si>
  <si>
    <t>FAC-5180</t>
  </si>
  <si>
    <t>FAC-5181</t>
  </si>
  <si>
    <t>FAC-5182</t>
  </si>
  <si>
    <t>FAC-5183</t>
  </si>
  <si>
    <t>24/02/2024</t>
  </si>
  <si>
    <t>FAC-5184</t>
  </si>
  <si>
    <t>26/02/2024</t>
  </si>
  <si>
    <t>FAC-5185</t>
  </si>
  <si>
    <t>FAC-5186</t>
  </si>
  <si>
    <t>FAC-5187</t>
  </si>
  <si>
    <t>FAC-5188</t>
  </si>
  <si>
    <t>FAC-5189</t>
  </si>
  <si>
    <t>FAC-5190</t>
  </si>
  <si>
    <t>27/02/2024</t>
  </si>
  <si>
    <t>FAC-5191</t>
  </si>
  <si>
    <t>FAC-5192</t>
  </si>
  <si>
    <t>FAC-5193</t>
  </si>
  <si>
    <t>FAC-5194</t>
  </si>
  <si>
    <t>28/02/2024</t>
  </si>
  <si>
    <t>FAC-5195</t>
  </si>
  <si>
    <t>FAC-5196</t>
  </si>
  <si>
    <t>FAC-5197</t>
  </si>
  <si>
    <t>FAC-5198</t>
  </si>
  <si>
    <t>FAC-5199</t>
  </si>
  <si>
    <t>29/02/2024</t>
  </si>
  <si>
    <t>FAC-5200</t>
  </si>
  <si>
    <t>FAC-5201</t>
  </si>
  <si>
    <t>FAC-5202</t>
  </si>
  <si>
    <t>01/03/2024</t>
  </si>
  <si>
    <t>FAC-5203</t>
  </si>
  <si>
    <t>FAC-5204</t>
  </si>
  <si>
    <t>FAC-5205</t>
  </si>
  <si>
    <t>FAC-5206</t>
  </si>
  <si>
    <t>02/03/2024</t>
  </si>
  <si>
    <t>FAC-5207</t>
  </si>
  <si>
    <t>04/03/2024</t>
  </si>
  <si>
    <t>FAC-5208</t>
  </si>
  <si>
    <t>FAC-5209</t>
  </si>
  <si>
    <t>FAC-5210</t>
  </si>
  <si>
    <t>FAC-5211</t>
  </si>
  <si>
    <t>FAC-5212</t>
  </si>
  <si>
    <t>FAC-5213</t>
  </si>
  <si>
    <t>05/03/2024</t>
  </si>
  <si>
    <t>FAC-5214</t>
  </si>
  <si>
    <t>FAC-5215</t>
  </si>
  <si>
    <t>FAC-5216</t>
  </si>
  <si>
    <t>FAC-5217</t>
  </si>
  <si>
    <t>06/03/2024</t>
  </si>
  <si>
    <t>FAC-5218</t>
  </si>
  <si>
    <t>FAC-5219</t>
  </si>
  <si>
    <t>FAC-5220</t>
  </si>
  <si>
    <t>FAC-5221</t>
  </si>
  <si>
    <t>FAC-5222</t>
  </si>
  <si>
    <t>07/03/2024</t>
  </si>
  <si>
    <t>FAC-5223</t>
  </si>
  <si>
    <t>FAC-5224</t>
  </si>
  <si>
    <t>FAC-5225</t>
  </si>
  <si>
    <t>08/03/2024</t>
  </si>
  <si>
    <t>FAC-5226</t>
  </si>
  <si>
    <t>FAC-5227</t>
  </si>
  <si>
    <t>FAC-5228</t>
  </si>
  <si>
    <t>FAC-5229</t>
  </si>
  <si>
    <t>09/03/2024</t>
  </si>
  <si>
    <t>FAC-5230</t>
  </si>
  <si>
    <t>11/03/2024</t>
  </si>
  <si>
    <t>FAC-5231</t>
  </si>
  <si>
    <t>FAC-5232</t>
  </si>
  <si>
    <t>FAC-5233</t>
  </si>
  <si>
    <t>FAC-5234</t>
  </si>
  <si>
    <t>FAC-5235</t>
  </si>
  <si>
    <t>FAC-5236</t>
  </si>
  <si>
    <t>12/03/2024</t>
  </si>
  <si>
    <t>FAC-5237</t>
  </si>
  <si>
    <t>FAC-5238</t>
  </si>
  <si>
    <t>FAC-5239</t>
  </si>
  <si>
    <t>FAC-5240</t>
  </si>
  <si>
    <t>13/03/2024</t>
  </si>
  <si>
    <t>FAC-5241</t>
  </si>
  <si>
    <t>FAC-5242</t>
  </si>
  <si>
    <t>FAC-5243</t>
  </si>
  <si>
    <t>FAC-5244</t>
  </si>
  <si>
    <t>FAC-5245</t>
  </si>
  <si>
    <t>14/03/2024</t>
  </si>
  <si>
    <t>FAC-5246</t>
  </si>
  <si>
    <t>FAC-5247</t>
  </si>
  <si>
    <t>FAC-5248</t>
  </si>
  <si>
    <t>15/03/2024</t>
  </si>
  <si>
    <t>FAC-5249</t>
  </si>
  <si>
    <t>FAC-5250</t>
  </si>
  <si>
    <t>FAC-5251</t>
  </si>
  <si>
    <t>FAC-5252</t>
  </si>
  <si>
    <t>16/03/2024</t>
  </si>
  <si>
    <t>FAC-5253</t>
  </si>
  <si>
    <t>18/03/2024</t>
  </si>
  <si>
    <t>FAC-5254</t>
  </si>
  <si>
    <t>FAC-5255</t>
  </si>
  <si>
    <t>FAC-5256</t>
  </si>
  <si>
    <t>FAC-5257</t>
  </si>
  <si>
    <t>FAC-5258</t>
  </si>
  <si>
    <t>FAC-5259</t>
  </si>
  <si>
    <t>19/03/2024</t>
  </si>
  <si>
    <t>FAC-5260</t>
  </si>
  <si>
    <t>FAC-5261</t>
  </si>
  <si>
    <t>FAC-5262</t>
  </si>
  <si>
    <t>FAC-5263</t>
  </si>
  <si>
    <t>20/03/2024</t>
  </si>
  <si>
    <t>FAC-5264</t>
  </si>
  <si>
    <t>FAC-5265</t>
  </si>
  <si>
    <t>FAC-5266</t>
  </si>
  <si>
    <t>FAC-5267</t>
  </si>
  <si>
    <t>FAC-5268</t>
  </si>
  <si>
    <t>21/03/2024</t>
  </si>
  <si>
    <t>FAC-5269</t>
  </si>
  <si>
    <t>FAC-5270</t>
  </si>
  <si>
    <t>FAC-5271</t>
  </si>
  <si>
    <t>22/03/2024</t>
  </si>
  <si>
    <t>FAC-5272</t>
  </si>
  <si>
    <t>FAC-5273</t>
  </si>
  <si>
    <t>FAC-5274</t>
  </si>
  <si>
    <t>FAC-5275</t>
  </si>
  <si>
    <t>23/03/2024</t>
  </si>
  <si>
    <t>FAC-5276</t>
  </si>
  <si>
    <t>25/03/2024</t>
  </si>
  <si>
    <t>FAC-5277</t>
  </si>
  <si>
    <t>FAC-5278</t>
  </si>
  <si>
    <t>FAC-5279</t>
  </si>
  <si>
    <t>FAC-5280</t>
  </si>
  <si>
    <t>FAC-5281</t>
  </si>
  <si>
    <t>FAC-5282</t>
  </si>
  <si>
    <t>26/03/2024</t>
  </si>
  <si>
    <t>FAC-5283</t>
  </si>
  <si>
    <t>FAC-5284</t>
  </si>
  <si>
    <t>FAC-5285</t>
  </si>
  <si>
    <t>FAC-5286</t>
  </si>
  <si>
    <t>27/03/2024</t>
  </si>
  <si>
    <t>FAC-5287</t>
  </si>
  <si>
    <t>FAC-5288</t>
  </si>
  <si>
    <t>FAC-5289</t>
  </si>
  <si>
    <t>FAC-5290</t>
  </si>
  <si>
    <t>FAC-5291</t>
  </si>
  <si>
    <t>28/03/2024</t>
  </si>
  <si>
    <t>FAC-5292</t>
  </si>
  <si>
    <t>FAC-5293</t>
  </si>
  <si>
    <t>FAC-5294</t>
  </si>
  <si>
    <t>29/03/2024</t>
  </si>
  <si>
    <t>FAC-5295</t>
  </si>
  <si>
    <t>FAC-5296</t>
  </si>
  <si>
    <t>FAC-5297</t>
  </si>
  <si>
    <t>FAC-5298</t>
  </si>
  <si>
    <t>30/03/2024</t>
  </si>
  <si>
    <t>FAC-5299</t>
  </si>
  <si>
    <t>01/04/2024</t>
  </si>
  <si>
    <t>FAC-5300</t>
  </si>
  <si>
    <t>FAC-5301</t>
  </si>
  <si>
    <t>FAC-5302</t>
  </si>
  <si>
    <t>FAC-5303</t>
  </si>
  <si>
    <t>FAC-5304</t>
  </si>
  <si>
    <t>FAC-5305</t>
  </si>
  <si>
    <t>02/04/2024</t>
  </si>
  <si>
    <t>FAC-5306</t>
  </si>
  <si>
    <t>FAC-5307</t>
  </si>
  <si>
    <t>FAC-5308</t>
  </si>
  <si>
    <t>FAC-5309</t>
  </si>
  <si>
    <t>03/04/2024</t>
  </si>
  <si>
    <t>FAC-5310</t>
  </si>
  <si>
    <t>FAC-5311</t>
  </si>
  <si>
    <t>FAC-5312</t>
  </si>
  <si>
    <t>FAC-5313</t>
  </si>
  <si>
    <t>FAC-5314</t>
  </si>
  <si>
    <t>04/04/2024</t>
  </si>
  <si>
    <t>FAC-5315</t>
  </si>
  <si>
    <t>FAC-5316</t>
  </si>
  <si>
    <t>FAC-5317</t>
  </si>
  <si>
    <t>05/04/2024</t>
  </si>
  <si>
    <t>FAC-5318</t>
  </si>
  <si>
    <t>FAC-5319</t>
  </si>
  <si>
    <t>FAC-5320</t>
  </si>
  <si>
    <t>FAC-5321</t>
  </si>
  <si>
    <t>06/04/2024</t>
  </si>
  <si>
    <t>FAC-5322</t>
  </si>
  <si>
    <t>08/04/2024</t>
  </si>
  <si>
    <t>FAC-5323</t>
  </si>
  <si>
    <t>FAC-5324</t>
  </si>
  <si>
    <t>FAC-5325</t>
  </si>
  <si>
    <t>FAC-5326</t>
  </si>
  <si>
    <t>FAC-5327</t>
  </si>
  <si>
    <t>FAC-5328</t>
  </si>
  <si>
    <t>09/04/2024</t>
  </si>
  <si>
    <t>FAC-5329</t>
  </si>
  <si>
    <t>FAC-5330</t>
  </si>
  <si>
    <t>FAC-5331</t>
  </si>
  <si>
    <t>FAC-5332</t>
  </si>
  <si>
    <t>10/04/2024</t>
  </si>
  <si>
    <t>FAC-5333</t>
  </si>
  <si>
    <t>FAC-5334</t>
  </si>
  <si>
    <t>FAC-5335</t>
  </si>
  <si>
    <t>FAC-5336</t>
  </si>
  <si>
    <t>FAC-5337</t>
  </si>
  <si>
    <t>11/04/2024</t>
  </si>
  <si>
    <t>FAC-5338</t>
  </si>
  <si>
    <t>FAC-5339</t>
  </si>
  <si>
    <t>FAC-5340</t>
  </si>
  <si>
    <t>12/04/2024</t>
  </si>
  <si>
    <t>FAC-5341</t>
  </si>
  <si>
    <t>FAC-5342</t>
  </si>
  <si>
    <t>FAC-5343</t>
  </si>
  <si>
    <t>FAC-5344</t>
  </si>
  <si>
    <t>13/04/2024</t>
  </si>
  <si>
    <t>FAC-5345</t>
  </si>
  <si>
    <t>15/04/2024</t>
  </si>
  <si>
    <t>FAC-5346</t>
  </si>
  <si>
    <t>FAC-5347</t>
  </si>
  <si>
    <t>FAC-5348</t>
  </si>
  <si>
    <t>FAC-5349</t>
  </si>
  <si>
    <t>FAC-5350</t>
  </si>
  <si>
    <t>FAC-5351</t>
  </si>
  <si>
    <t>16/04/2024</t>
  </si>
  <si>
    <t>FAC-5352</t>
  </si>
  <si>
    <t>FAC-5353</t>
  </si>
  <si>
    <t>FAC-5354</t>
  </si>
  <si>
    <t>FAC-5355</t>
  </si>
  <si>
    <t>17/04/2024</t>
  </si>
  <si>
    <t>FAC-5356</t>
  </si>
  <si>
    <t>FAC-5357</t>
  </si>
  <si>
    <t>FAC-5358</t>
  </si>
  <si>
    <t>FAC-5359</t>
  </si>
  <si>
    <t>FAC-5360</t>
  </si>
  <si>
    <t>18/04/2024</t>
  </si>
  <si>
    <t>FAC-5361</t>
  </si>
  <si>
    <t>FAC-5362</t>
  </si>
  <si>
    <t>FAC-5363</t>
  </si>
  <si>
    <t>19/04/2024</t>
  </si>
  <si>
    <t>FAC-5364</t>
  </si>
  <si>
    <t>FAC-5365</t>
  </si>
  <si>
    <t>FAC-5366</t>
  </si>
  <si>
    <t>FAC-5367</t>
  </si>
  <si>
    <t>20/04/2024</t>
  </si>
  <si>
    <t>FAC-5368</t>
  </si>
  <si>
    <t>22/04/2024</t>
  </si>
  <si>
    <t>FAC-5369</t>
  </si>
  <si>
    <t>FAC-5370</t>
  </si>
  <si>
    <t>FAC-5371</t>
  </si>
  <si>
    <t>FAC-5372</t>
  </si>
  <si>
    <t>FAC-5373</t>
  </si>
  <si>
    <t>FAC-5374</t>
  </si>
  <si>
    <t>23/04/2024</t>
  </si>
  <si>
    <t>FAC-5375</t>
  </si>
  <si>
    <t>FAC-5376</t>
  </si>
  <si>
    <t>FAC-5377</t>
  </si>
  <si>
    <t>FAC-5378</t>
  </si>
  <si>
    <t>24/04/2024</t>
  </si>
  <si>
    <t>FAC-5379</t>
  </si>
  <si>
    <t>FAC-5380</t>
  </si>
  <si>
    <t>FAC-5381</t>
  </si>
  <si>
    <t>FAC-5382</t>
  </si>
  <si>
    <t>FAC-5383</t>
  </si>
  <si>
    <t>25/04/2024</t>
  </si>
  <si>
    <t>FAC-5384</t>
  </si>
  <si>
    <t>FAC-5385</t>
  </si>
  <si>
    <t>FAC-5386</t>
  </si>
  <si>
    <t>26/04/2024</t>
  </si>
  <si>
    <t>FAC-5387</t>
  </si>
  <si>
    <t>FAC-5388</t>
  </si>
  <si>
    <t>FAC-5389</t>
  </si>
  <si>
    <t>FAC-5390</t>
  </si>
  <si>
    <t>27/04/2024</t>
  </si>
  <si>
    <t>FAC-5391</t>
  </si>
  <si>
    <t>29/04/2024</t>
  </si>
  <si>
    <t>FAC-5392</t>
  </si>
  <si>
    <t>FAC-5393</t>
  </si>
  <si>
    <t>FAC-5394</t>
  </si>
  <si>
    <t>FAC-5395</t>
  </si>
  <si>
    <t>FAC-5396</t>
  </si>
  <si>
    <t>FAC-5397</t>
  </si>
  <si>
    <t>30/04/2024</t>
  </si>
  <si>
    <t>FAC-5398</t>
  </si>
  <si>
    <t>FAC-5399</t>
  </si>
  <si>
    <t>FAC-5400</t>
  </si>
  <si>
    <t>FAC-5401</t>
  </si>
  <si>
    <t>01/05/2024</t>
  </si>
  <si>
    <t>FAC-5402</t>
  </si>
  <si>
    <t>FAC-5403</t>
  </si>
  <si>
    <t>FAC-5404</t>
  </si>
  <si>
    <t>FAC-5405</t>
  </si>
  <si>
    <t>FAC-5406</t>
  </si>
  <si>
    <t>02/05/2024</t>
  </si>
  <si>
    <t>FAC-5407</t>
  </si>
  <si>
    <t>FAC-5408</t>
  </si>
  <si>
    <t>FAC-5409</t>
  </si>
  <si>
    <t>03/05/2024</t>
  </si>
  <si>
    <t>FAC-5410</t>
  </si>
  <si>
    <t>FAC-5411</t>
  </si>
  <si>
    <t>FAC-5412</t>
  </si>
  <si>
    <t>FAC-5413</t>
  </si>
  <si>
    <t>04/05/2024</t>
  </si>
  <si>
    <t>FAC-5414</t>
  </si>
  <si>
    <t>06/05/2024</t>
  </si>
  <si>
    <t>FAC-5415</t>
  </si>
  <si>
    <t>FAC-5416</t>
  </si>
  <si>
    <t>FAC-5417</t>
  </si>
  <si>
    <t>FAC-5418</t>
  </si>
  <si>
    <t>FAC-5419</t>
  </si>
  <si>
    <t>FAC-5420</t>
  </si>
  <si>
    <t>07/05/2024</t>
  </si>
  <si>
    <t>FAC-5421</t>
  </si>
  <si>
    <t>FAC-5422</t>
  </si>
  <si>
    <t>FAC-5423</t>
  </si>
  <si>
    <t>FAC-5424</t>
  </si>
  <si>
    <t>08/05/2024</t>
  </si>
  <si>
    <t>FAC-5425</t>
  </si>
  <si>
    <t>FAC-5426</t>
  </si>
  <si>
    <t>FAC-5427</t>
  </si>
  <si>
    <t>FAC-5428</t>
  </si>
  <si>
    <t>FAC-5429</t>
  </si>
  <si>
    <t>09/05/2024</t>
  </si>
  <si>
    <t>FAC-5430</t>
  </si>
  <si>
    <t>FAC-5431</t>
  </si>
  <si>
    <t>FAC-5432</t>
  </si>
  <si>
    <t>10/05/2024</t>
  </si>
  <si>
    <t>FAC-5433</t>
  </si>
  <si>
    <t>FAC-5434</t>
  </si>
  <si>
    <t>FAC-5435</t>
  </si>
  <si>
    <t>FAC-5436</t>
  </si>
  <si>
    <t>11/05/2024</t>
  </si>
  <si>
    <t>FAC-5437</t>
  </si>
  <si>
    <t>13/05/2024</t>
  </si>
  <si>
    <t>FAC-5438</t>
  </si>
  <si>
    <t>FAC-5439</t>
  </si>
  <si>
    <t>FAC-5440</t>
  </si>
  <si>
    <t>FAC-5441</t>
  </si>
  <si>
    <t>FAC-5442</t>
  </si>
  <si>
    <t>FAC-5443</t>
  </si>
  <si>
    <t>14/05/2024</t>
  </si>
  <si>
    <t>FAC-5444</t>
  </si>
  <si>
    <t>FAC-5445</t>
  </si>
  <si>
    <t>FAC-5446</t>
  </si>
  <si>
    <t>FAC-5447</t>
  </si>
  <si>
    <t>15/05/2024</t>
  </si>
  <si>
    <t>FAC-5448</t>
  </si>
  <si>
    <t>FAC-5449</t>
  </si>
  <si>
    <t>FAC-5450</t>
  </si>
  <si>
    <t>FAC-5451</t>
  </si>
  <si>
    <t>FAC-5452</t>
  </si>
  <si>
    <t>16/05/2024</t>
  </si>
  <si>
    <t>FAC-5453</t>
  </si>
  <si>
    <t>FAC-5454</t>
  </si>
  <si>
    <t>FAC-5455</t>
  </si>
  <si>
    <t>17/05/2024</t>
  </si>
  <si>
    <t>FAC-5456</t>
  </si>
  <si>
    <t>FAC-5457</t>
  </si>
  <si>
    <t>FAC-5458</t>
  </si>
  <si>
    <t>FAC-5459</t>
  </si>
  <si>
    <t>18/05/2024</t>
  </si>
  <si>
    <t>FAC-5460</t>
  </si>
  <si>
    <t>20/05/2024</t>
  </si>
  <si>
    <t>FAC-5461</t>
  </si>
  <si>
    <t>FAC-5462</t>
  </si>
  <si>
    <t>FAC-5463</t>
  </si>
  <si>
    <t>FAC-5464</t>
  </si>
  <si>
    <t>FAC-5465</t>
  </si>
  <si>
    <t>FAC-5466</t>
  </si>
  <si>
    <t>21/05/2024</t>
  </si>
  <si>
    <t>FAC-5467</t>
  </si>
  <si>
    <t>FAC-5468</t>
  </si>
  <si>
    <t>FAC-5469</t>
  </si>
  <si>
    <t>FAC-5470</t>
  </si>
  <si>
    <t>22/05/2024</t>
  </si>
  <si>
    <t>FAC-5471</t>
  </si>
  <si>
    <t>FAC-5472</t>
  </si>
  <si>
    <t>FAC-5473</t>
  </si>
  <si>
    <t>FAC-5474</t>
  </si>
  <si>
    <t>FAC-5475</t>
  </si>
  <si>
    <t>23/05/2024</t>
  </si>
  <si>
    <t>FAC-5476</t>
  </si>
  <si>
    <t>FAC-5477</t>
  </si>
  <si>
    <t>FAC-5478</t>
  </si>
  <si>
    <t>24/05/2024</t>
  </si>
  <si>
    <t>FAC-5479</t>
  </si>
  <si>
    <t>FAC-5480</t>
  </si>
  <si>
    <t>FAC-5481</t>
  </si>
  <si>
    <t>FAC-5482</t>
  </si>
  <si>
    <t>25/05/2024</t>
  </si>
  <si>
    <t>FAC-5483</t>
  </si>
  <si>
    <t>27/05/2024</t>
  </si>
  <si>
    <t>FAC-5484</t>
  </si>
  <si>
    <t>FAC-5485</t>
  </si>
  <si>
    <t>FAC-5486</t>
  </si>
  <si>
    <t>FAC-5487</t>
  </si>
  <si>
    <t>FAC-5488</t>
  </si>
  <si>
    <t>FAC-5489</t>
  </si>
  <si>
    <t>28/05/2024</t>
  </si>
  <si>
    <t>FAC-5490</t>
  </si>
  <si>
    <t>FAC-5491</t>
  </si>
  <si>
    <t>FAC-5492</t>
  </si>
  <si>
    <t>FAC-5493</t>
  </si>
  <si>
    <t>29/05/2024</t>
  </si>
  <si>
    <t>FAC-5494</t>
  </si>
  <si>
    <t>FAC-5495</t>
  </si>
  <si>
    <t>FAC-5496</t>
  </si>
  <si>
    <t>FAC-5497</t>
  </si>
  <si>
    <t>FAC-5498</t>
  </si>
  <si>
    <t>30/05/2024</t>
  </si>
  <si>
    <t>FAC-5499</t>
  </si>
  <si>
    <t>FAC-5500</t>
  </si>
  <si>
    <t>FAC-5501</t>
  </si>
  <si>
    <t>31/05/2024</t>
  </si>
  <si>
    <t>FAC-5502</t>
  </si>
  <si>
    <t>FAC-5503</t>
  </si>
  <si>
    <t>FAC-5504</t>
  </si>
  <si>
    <t>FAC-5505</t>
  </si>
  <si>
    <t>01/06/2024</t>
  </si>
  <si>
    <t>FAC-5506</t>
  </si>
  <si>
    <t>03/06/2024</t>
  </si>
  <si>
    <t>FAC-5507</t>
  </si>
  <si>
    <t>FAC-5508</t>
  </si>
  <si>
    <t>FAC-5509</t>
  </si>
  <si>
    <t>FAC-5510</t>
  </si>
  <si>
    <t>FAC-5511</t>
  </si>
  <si>
    <t>FAC-5512</t>
  </si>
  <si>
    <t>04/06/2024</t>
  </si>
  <si>
    <t>FAC-5513</t>
  </si>
  <si>
    <t>FAC-5514</t>
  </si>
  <si>
    <t>FAC-5515</t>
  </si>
  <si>
    <t>FAC-5516</t>
  </si>
  <si>
    <t>05/06/2024</t>
  </si>
  <si>
    <t>FAC-5517</t>
  </si>
  <si>
    <t>FAC-5518</t>
  </si>
  <si>
    <t>FAC-5519</t>
  </si>
  <si>
    <t>FAC-5520</t>
  </si>
  <si>
    <t>FAC-5521</t>
  </si>
  <si>
    <t>06/06/2024</t>
  </si>
  <si>
    <t>FAC-5522</t>
  </si>
  <si>
    <t>FAC-5523</t>
  </si>
  <si>
    <t>FAC-5524</t>
  </si>
  <si>
    <t>07/06/2024</t>
  </si>
  <si>
    <t>FAC-5525</t>
  </si>
  <si>
    <t>FAC-5526</t>
  </si>
  <si>
    <t>FAC-5527</t>
  </si>
  <si>
    <t>FAC-5528</t>
  </si>
  <si>
    <t>08/06/2024</t>
  </si>
  <si>
    <t>FAC-5529</t>
  </si>
  <si>
    <t>10/06/2024</t>
  </si>
  <si>
    <t>FAC-5530</t>
  </si>
  <si>
    <t>FAC-5531</t>
  </si>
  <si>
    <t>FAC-5532</t>
  </si>
  <si>
    <t>FAC-5533</t>
  </si>
  <si>
    <t>FAC-5534</t>
  </si>
  <si>
    <t>FAC-5535</t>
  </si>
  <si>
    <t>11/06/2024</t>
  </si>
  <si>
    <t>FAC-5536</t>
  </si>
  <si>
    <t>FAC-5537</t>
  </si>
  <si>
    <t>FAC-5538</t>
  </si>
  <si>
    <t>FAC-5539</t>
  </si>
  <si>
    <t>12/06/2024</t>
  </si>
  <si>
    <t>FAC-5540</t>
  </si>
  <si>
    <t>FAC-5541</t>
  </si>
  <si>
    <t>FAC-5542</t>
  </si>
  <si>
    <t>FAC-5543</t>
  </si>
  <si>
    <t>FAC-5544</t>
  </si>
  <si>
    <t>13/06/2024</t>
  </si>
  <si>
    <t>FAC-5545</t>
  </si>
  <si>
    <t>FAC-5546</t>
  </si>
  <si>
    <t>FAC-5547</t>
  </si>
  <si>
    <t>14/06/2024</t>
  </si>
  <si>
    <t>FAC-5548</t>
  </si>
  <si>
    <t>FAC-5549</t>
  </si>
  <si>
    <t>FAC-5550</t>
  </si>
  <si>
    <t>FAC-5551</t>
  </si>
  <si>
    <t>15/06/2024</t>
  </si>
  <si>
    <t>FAC-5552</t>
  </si>
  <si>
    <t>17/06/2024</t>
  </si>
  <si>
    <t>FAC-5553</t>
  </si>
  <si>
    <t>FAC-5554</t>
  </si>
  <si>
    <t>FAC-5555</t>
  </si>
  <si>
    <t>FAC-5556</t>
  </si>
  <si>
    <t>FAC-5557</t>
  </si>
  <si>
    <t>FAC-5558</t>
  </si>
  <si>
    <t>18/06/2024</t>
  </si>
  <si>
    <t>FAC-5559</t>
  </si>
  <si>
    <t>FAC-5560</t>
  </si>
  <si>
    <t>FAC-5561</t>
  </si>
  <si>
    <t>FAC-5562</t>
  </si>
  <si>
    <t>19/06/2024</t>
  </si>
  <si>
    <t>FAC-5563</t>
  </si>
  <si>
    <t>FAC-5564</t>
  </si>
  <si>
    <t>FAC-5565</t>
  </si>
  <si>
    <t>FAC-5566</t>
  </si>
  <si>
    <t>FAC-5567</t>
  </si>
  <si>
    <t>20/06/2024</t>
  </si>
  <si>
    <t>FAC-5568</t>
  </si>
  <si>
    <t>FAC-5569</t>
  </si>
  <si>
    <t>FAC-5570</t>
  </si>
  <si>
    <t>21/06/2024</t>
  </si>
  <si>
    <t>FAC-5571</t>
  </si>
  <si>
    <t>FAC-5572</t>
  </si>
  <si>
    <t>FAC-5573</t>
  </si>
  <si>
    <t>FAC-5574</t>
  </si>
  <si>
    <t>22/06/2024</t>
  </si>
  <si>
    <t>FAC-5575</t>
  </si>
  <si>
    <t>24/06/2024</t>
  </si>
  <si>
    <t>FAC-5576</t>
  </si>
  <si>
    <t>FAC-5577</t>
  </si>
  <si>
    <t>FAC-5578</t>
  </si>
  <si>
    <t>FAC-5579</t>
  </si>
  <si>
    <t>FAC-5580</t>
  </si>
  <si>
    <t>FAC-5581</t>
  </si>
  <si>
    <t>25/06/2024</t>
  </si>
  <si>
    <t>FAC-5582</t>
  </si>
  <si>
    <t>FAC-5583</t>
  </si>
  <si>
    <t>FAC-5584</t>
  </si>
  <si>
    <t>FAC-5585</t>
  </si>
  <si>
    <t>26/06/2024</t>
  </si>
  <si>
    <t>FAC-5586</t>
  </si>
  <si>
    <t>FAC-5587</t>
  </si>
  <si>
    <t>FAC-5588</t>
  </si>
  <si>
    <t>FAC-5589</t>
  </si>
  <si>
    <t>FAC-5590</t>
  </si>
  <si>
    <t>27/06/2024</t>
  </si>
  <si>
    <t>FAC-5591</t>
  </si>
  <si>
    <t>FAC-5592</t>
  </si>
  <si>
    <t>FAC-5593</t>
  </si>
  <si>
    <t>28/06/2024</t>
  </si>
  <si>
    <t>FAC-5594</t>
  </si>
  <si>
    <t>FAC-5595</t>
  </si>
  <si>
    <t>FAC-5596</t>
  </si>
  <si>
    <t>FAC-5597</t>
  </si>
  <si>
    <t>29/06/2024</t>
  </si>
  <si>
    <t>FAC-5598</t>
  </si>
  <si>
    <t>01/07/2024</t>
  </si>
  <si>
    <t>FAC-5599</t>
  </si>
  <si>
    <t>FAC-5600</t>
  </si>
  <si>
    <t>FAC-5601</t>
  </si>
  <si>
    <t>FAC-5602</t>
  </si>
  <si>
    <t>FAC-5603</t>
  </si>
  <si>
    <t>FAC-5604</t>
  </si>
  <si>
    <t>02/07/2024</t>
  </si>
  <si>
    <t>FAC-5605</t>
  </si>
  <si>
    <t>FAC-5606</t>
  </si>
  <si>
    <t>FAC-5607</t>
  </si>
  <si>
    <t>FAC-5608</t>
  </si>
  <si>
    <t>03/07/2024</t>
  </si>
  <si>
    <t>FAC-5609</t>
  </si>
  <si>
    <t>FAC-5610</t>
  </si>
  <si>
    <t>FAC-5611</t>
  </si>
  <si>
    <t>FAC-5612</t>
  </si>
  <si>
    <t>FAC-5613</t>
  </si>
  <si>
    <t>04/07/2024</t>
  </si>
  <si>
    <t>FAC-5614</t>
  </si>
  <si>
    <t>FAC-5615</t>
  </si>
  <si>
    <t>FAC-5616</t>
  </si>
  <si>
    <t>05/07/2024</t>
  </si>
  <si>
    <t>FAC-5617</t>
  </si>
  <si>
    <t>FAC-5618</t>
  </si>
  <si>
    <t>FAC-5619</t>
  </si>
  <si>
    <t>FAC-5620</t>
  </si>
  <si>
    <t>06/07/2024</t>
  </si>
  <si>
    <t>FAC-5621</t>
  </si>
  <si>
    <t>08/07/2024</t>
  </si>
  <si>
    <t>FAC-5622</t>
  </si>
  <si>
    <t>FAC-5623</t>
  </si>
  <si>
    <t>FAC-5624</t>
  </si>
  <si>
    <t>FAC-5625</t>
  </si>
  <si>
    <t>FAC-5626</t>
  </si>
  <si>
    <t>FAC-5627</t>
  </si>
  <si>
    <t>09/07/2024</t>
  </si>
  <si>
    <t>FAC-5628</t>
  </si>
  <si>
    <t>FAC-5629</t>
  </si>
  <si>
    <t>FAC-5630</t>
  </si>
  <si>
    <t>FAC-5631</t>
  </si>
  <si>
    <t>10/07/2024</t>
  </si>
  <si>
    <t>FAC-5632</t>
  </si>
  <si>
    <t>FAC-5633</t>
  </si>
  <si>
    <t>FAC-5634</t>
  </si>
  <si>
    <t>FAC-5635</t>
  </si>
  <si>
    <t>FAC-5636</t>
  </si>
  <si>
    <t>11/07/2024</t>
  </si>
  <si>
    <t>FAC-5637</t>
  </si>
  <si>
    <t>FAC-5638</t>
  </si>
  <si>
    <t>FAC-5639</t>
  </si>
  <si>
    <t>12/07/2024</t>
  </si>
  <si>
    <t>FAC-5640</t>
  </si>
  <si>
    <t>FAC-5641</t>
  </si>
  <si>
    <t>FAC-5642</t>
  </si>
  <si>
    <t>FAC-5643</t>
  </si>
  <si>
    <t>13/07/2024</t>
  </si>
  <si>
    <t>FAC-5644</t>
  </si>
  <si>
    <t>15/07/2024</t>
  </si>
  <si>
    <t>FAC-5645</t>
  </si>
  <si>
    <t>FAC-5646</t>
  </si>
  <si>
    <t>FAC-5647</t>
  </si>
  <si>
    <t>FAC-5648</t>
  </si>
  <si>
    <t>FAC-5649</t>
  </si>
  <si>
    <t>FAC-5650</t>
  </si>
  <si>
    <t>16/07/2024</t>
  </si>
  <si>
    <t>FAC-5651</t>
  </si>
  <si>
    <t>FAC-5652</t>
  </si>
  <si>
    <t>FAC-5653</t>
  </si>
  <si>
    <t>FAC-5654</t>
  </si>
  <si>
    <t>17/07/2024</t>
  </si>
  <si>
    <t>FAC-5655</t>
  </si>
  <si>
    <t>FAC-5656</t>
  </si>
  <si>
    <t>FAC-5657</t>
  </si>
  <si>
    <t>FAC-5658</t>
  </si>
  <si>
    <t>FAC-5659</t>
  </si>
  <si>
    <t>18/07/2024</t>
  </si>
  <si>
    <t>FAC-5660</t>
  </si>
  <si>
    <t>FAC-5661</t>
  </si>
  <si>
    <t>FAC-5662</t>
  </si>
  <si>
    <t>19/07/2024</t>
  </si>
  <si>
    <t>FAC-5663</t>
  </si>
  <si>
    <t>FAC-5664</t>
  </si>
  <si>
    <t>FAC-5665</t>
  </si>
  <si>
    <t>FAC-5666</t>
  </si>
  <si>
    <t>20/07/2024</t>
  </si>
  <si>
    <t>FAC-5667</t>
  </si>
  <si>
    <t>22/07/2024</t>
  </si>
  <si>
    <t>FAC-5668</t>
  </si>
  <si>
    <t>FAC-5669</t>
  </si>
  <si>
    <t>FAC-5670</t>
  </si>
  <si>
    <t>FAC-5671</t>
  </si>
  <si>
    <t>FAC-5672</t>
  </si>
  <si>
    <t>FAC-5673</t>
  </si>
  <si>
    <t>23/07/2024</t>
  </si>
  <si>
    <t>FAC-5674</t>
  </si>
  <si>
    <t>FAC-5675</t>
  </si>
  <si>
    <t>FAC-5676</t>
  </si>
  <si>
    <t>FAC-5677</t>
  </si>
  <si>
    <t>24/07/2024</t>
  </si>
  <si>
    <t>FAC-5678</t>
  </si>
  <si>
    <t>FAC-5679</t>
  </si>
  <si>
    <t>FAC-5680</t>
  </si>
  <si>
    <t>FAC-5681</t>
  </si>
  <si>
    <t>FAC-5682</t>
  </si>
  <si>
    <t>25/07/2024</t>
  </si>
  <si>
    <t>FAC-5683</t>
  </si>
  <si>
    <t>FAC-5684</t>
  </si>
  <si>
    <t>FAC-5685</t>
  </si>
  <si>
    <t>26/07/2024</t>
  </si>
  <si>
    <t>FAC-5686</t>
  </si>
  <si>
    <t>FAC-5687</t>
  </si>
  <si>
    <t>FAC-5688</t>
  </si>
  <si>
    <t>FAC-5689</t>
  </si>
  <si>
    <t>27/07/2024</t>
  </si>
  <si>
    <t>FAC-5690</t>
  </si>
  <si>
    <t>29/07/2024</t>
  </si>
  <si>
    <t>FAC-5691</t>
  </si>
  <si>
    <t>FAC-5692</t>
  </si>
  <si>
    <t>FAC-5693</t>
  </si>
  <si>
    <t>FAC-5694</t>
  </si>
  <si>
    <t>FAC-5695</t>
  </si>
  <si>
    <t>FAC-5696</t>
  </si>
  <si>
    <t>30/07/2024</t>
  </si>
  <si>
    <t>FAC-5697</t>
  </si>
  <si>
    <t>FAC-5698</t>
  </si>
  <si>
    <t>FAC-5699</t>
  </si>
  <si>
    <t>FAC-5700</t>
  </si>
  <si>
    <t>31/07/2024</t>
  </si>
  <si>
    <t>FAC-5701</t>
  </si>
  <si>
    <t>FAC-5702</t>
  </si>
  <si>
    <t>FAC-5703</t>
  </si>
  <si>
    <t>FAC-5704</t>
  </si>
  <si>
    <t>FAC-5705</t>
  </si>
  <si>
    <t>01/08/2024</t>
  </si>
  <si>
    <t>FAC-5706</t>
  </si>
  <si>
    <t>FAC-5707</t>
  </si>
  <si>
    <t>FAC-5708</t>
  </si>
  <si>
    <t>02/08/2024</t>
  </si>
  <si>
    <t>FAC-5709</t>
  </si>
  <si>
    <t>FAC-5710</t>
  </si>
  <si>
    <t>FAC-5711</t>
  </si>
  <si>
    <t>FAC-5712</t>
  </si>
  <si>
    <t>03/08/2024</t>
  </si>
  <si>
    <t>FAC-5713</t>
  </si>
  <si>
    <t>05/08/2024</t>
  </si>
  <si>
    <t>FAC-5714</t>
  </si>
  <si>
    <t>FAC-5715</t>
  </si>
  <si>
    <t>FAC-5716</t>
  </si>
  <si>
    <t>FAC-5717</t>
  </si>
  <si>
    <t>FAC-5718</t>
  </si>
  <si>
    <t>FAC-5719</t>
  </si>
  <si>
    <t>06/08/2024</t>
  </si>
  <si>
    <t>FAC-5720</t>
  </si>
  <si>
    <t>FAC-5721</t>
  </si>
  <si>
    <t>FAC-5722</t>
  </si>
  <si>
    <t>FAC-5723</t>
  </si>
  <si>
    <t>07/08/2024</t>
  </si>
  <si>
    <t>FAC-5724</t>
  </si>
  <si>
    <t>FAC-5725</t>
  </si>
  <si>
    <t>FAC-5726</t>
  </si>
  <si>
    <t>FAC-5727</t>
  </si>
  <si>
    <t>FAC-5728</t>
  </si>
  <si>
    <t>08/08/2024</t>
  </si>
  <si>
    <t>FAC-5729</t>
  </si>
  <si>
    <t>FAC-5730</t>
  </si>
  <si>
    <t>FAC-5731</t>
  </si>
  <si>
    <t>09/08/2024</t>
  </si>
  <si>
    <t>FAC-5732</t>
  </si>
  <si>
    <t>FAC-5733</t>
  </si>
  <si>
    <t>FAC-5734</t>
  </si>
  <si>
    <t>FAC-5735</t>
  </si>
  <si>
    <t>10/08/2024</t>
  </si>
  <si>
    <t>FAC-5736</t>
  </si>
  <si>
    <t>12/08/2024</t>
  </si>
  <si>
    <t>FAC-5737</t>
  </si>
  <si>
    <t>FAC-5738</t>
  </si>
  <si>
    <t>FAC-5739</t>
  </si>
  <si>
    <t>FAC-5740</t>
  </si>
  <si>
    <t>FAC-5741</t>
  </si>
  <si>
    <t>FAC-5742</t>
  </si>
  <si>
    <t>13/08/2024</t>
  </si>
  <si>
    <t>FAC-5743</t>
  </si>
  <si>
    <t>FAC-5744</t>
  </si>
  <si>
    <t>FAC-5745</t>
  </si>
  <si>
    <t>FAC-5746</t>
  </si>
  <si>
    <t>14/08/2024</t>
  </si>
  <si>
    <t>FAC-5747</t>
  </si>
  <si>
    <t>FAC-5748</t>
  </si>
  <si>
    <t>FAC-5749</t>
  </si>
  <si>
    <t>FAC-5750</t>
  </si>
  <si>
    <t>FAC-5751</t>
  </si>
  <si>
    <t>15/08/2024</t>
  </si>
  <si>
    <t>FAC-5752</t>
  </si>
  <si>
    <t>FAC-5753</t>
  </si>
  <si>
    <t>FAC-5754</t>
  </si>
  <si>
    <t>16/08/2024</t>
  </si>
  <si>
    <t>FAC-5755</t>
  </si>
  <si>
    <t>FAC-5756</t>
  </si>
  <si>
    <t>FAC-5757</t>
  </si>
  <si>
    <t>FAC-5758</t>
  </si>
  <si>
    <t>17/08/2024</t>
  </si>
  <si>
    <t>FAC-5759</t>
  </si>
  <si>
    <t>19/08/2024</t>
  </si>
  <si>
    <t>FAC-5760</t>
  </si>
  <si>
    <t>FAC-5761</t>
  </si>
  <si>
    <t>FAC-5762</t>
  </si>
  <si>
    <t>FAC-5763</t>
  </si>
  <si>
    <t>FAC-5764</t>
  </si>
  <si>
    <t>FAC-5765</t>
  </si>
  <si>
    <t>20/08/2024</t>
  </si>
  <si>
    <t>FAC-5766</t>
  </si>
  <si>
    <t>FAC-5767</t>
  </si>
  <si>
    <t>FAC-5768</t>
  </si>
  <si>
    <t>FAC-5769</t>
  </si>
  <si>
    <t>21/08/2024</t>
  </si>
  <si>
    <t>FAC-5770</t>
  </si>
  <si>
    <t>FAC-5771</t>
  </si>
  <si>
    <t>FAC-5772</t>
  </si>
  <si>
    <t>FAC-5773</t>
  </si>
  <si>
    <t>FAC-5774</t>
  </si>
  <si>
    <t>22/08/2024</t>
  </si>
  <si>
    <t>FAC-5775</t>
  </si>
  <si>
    <t>FAC-5776</t>
  </si>
  <si>
    <t>FAC-5777</t>
  </si>
  <si>
    <t>23/08/2024</t>
  </si>
  <si>
    <t>FAC-5778</t>
  </si>
  <si>
    <t>FAC-5779</t>
  </si>
  <si>
    <t>FAC-5780</t>
  </si>
  <si>
    <t>FAC-5781</t>
  </si>
  <si>
    <t>24/08/2024</t>
  </si>
  <si>
    <t>FAC-5782</t>
  </si>
  <si>
    <t>26/08/2024</t>
  </si>
  <si>
    <t>FAC-5783</t>
  </si>
  <si>
    <t>FAC-5784</t>
  </si>
  <si>
    <t>FAC-5785</t>
  </si>
  <si>
    <t>FAC-5786</t>
  </si>
  <si>
    <t>FAC-5787</t>
  </si>
  <si>
    <t>FAC-5788</t>
  </si>
  <si>
    <t>27/08/2024</t>
  </si>
  <si>
    <t>FAC-5789</t>
  </si>
  <si>
    <t>FAC-5790</t>
  </si>
  <si>
    <t>FAC-5791</t>
  </si>
  <si>
    <t>FAC-5792</t>
  </si>
  <si>
    <t>28/08/2024</t>
  </si>
  <si>
    <t>FAC-5793</t>
  </si>
  <si>
    <t>FAC-5794</t>
  </si>
  <si>
    <t>FAC-5795</t>
  </si>
  <si>
    <t>FAC-5796</t>
  </si>
  <si>
    <t>FAC-5797</t>
  </si>
  <si>
    <t>29/08/2024</t>
  </si>
  <si>
    <t>FAC-5798</t>
  </si>
  <si>
    <t>FAC-5799</t>
  </si>
  <si>
    <t>FAC-5800</t>
  </si>
  <si>
    <t>30/08/2024</t>
  </si>
  <si>
    <t>FAC-5801</t>
  </si>
  <si>
    <t>FAC-5802</t>
  </si>
  <si>
    <t>FAC-5803</t>
  </si>
  <si>
    <t>FAC-5804</t>
  </si>
  <si>
    <t>31/08/2024</t>
  </si>
  <si>
    <t>FAC-5805</t>
  </si>
  <si>
    <t>02/09/2024</t>
  </si>
  <si>
    <t>FAC-5806</t>
  </si>
  <si>
    <t>FAC-5807</t>
  </si>
  <si>
    <t>FAC-5808</t>
  </si>
  <si>
    <t>FAC-5809</t>
  </si>
  <si>
    <t>FAC-5810</t>
  </si>
  <si>
    <t>FAC-5811</t>
  </si>
  <si>
    <t>03/09/2024</t>
  </si>
  <si>
    <t>FAC-5812</t>
  </si>
  <si>
    <t>FAC-5813</t>
  </si>
  <si>
    <t>FAC-5814</t>
  </si>
  <si>
    <t>FAC-5815</t>
  </si>
  <si>
    <t>04/09/2024</t>
  </si>
  <si>
    <t>FAC-5816</t>
  </si>
  <si>
    <t>FAC-5817</t>
  </si>
  <si>
    <t>FAC-5818</t>
  </si>
  <si>
    <t>FAC-5819</t>
  </si>
  <si>
    <t>FAC-5820</t>
  </si>
  <si>
    <t>05/09/2024</t>
  </si>
  <si>
    <t>FAC-5821</t>
  </si>
  <si>
    <t>FAC-5822</t>
  </si>
  <si>
    <t>FAC-5823</t>
  </si>
  <si>
    <t>06/09/2024</t>
  </si>
  <si>
    <t>FAC-5824</t>
  </si>
  <si>
    <t>FAC-5825</t>
  </si>
  <si>
    <t>FAC-5826</t>
  </si>
  <si>
    <t>FAC-5827</t>
  </si>
  <si>
    <t>07/09/2024</t>
  </si>
  <si>
    <t>FAC-5828</t>
  </si>
  <si>
    <t>09/09/2024</t>
  </si>
  <si>
    <t>FAC-5829</t>
  </si>
  <si>
    <t>FAC-5830</t>
  </si>
  <si>
    <t>FAC-5831</t>
  </si>
  <si>
    <t>FAC-5832</t>
  </si>
  <si>
    <t>FAC-5833</t>
  </si>
  <si>
    <t>FAC-5834</t>
  </si>
  <si>
    <t>10/09/2024</t>
  </si>
  <si>
    <t>FAC-5835</t>
  </si>
  <si>
    <t>FAC-5836</t>
  </si>
  <si>
    <t>FAC-5837</t>
  </si>
  <si>
    <t>FAC-5838</t>
  </si>
  <si>
    <t>11/09/2024</t>
  </si>
  <si>
    <t>FAC-5839</t>
  </si>
  <si>
    <t>FAC-5840</t>
  </si>
  <si>
    <t>FAC-5841</t>
  </si>
  <si>
    <t>FAC-5842</t>
  </si>
  <si>
    <t>FAC-5843</t>
  </si>
  <si>
    <t>12/09/2024</t>
  </si>
  <si>
    <t>FAC-5844</t>
  </si>
  <si>
    <t>FAC-5845</t>
  </si>
  <si>
    <t>FAC-5846</t>
  </si>
  <si>
    <t>13/09/2024</t>
  </si>
  <si>
    <t>FAC-5847</t>
  </si>
  <si>
    <t>FAC-5848</t>
  </si>
  <si>
    <t>FAC-5849</t>
  </si>
  <si>
    <t>FAC-5850</t>
  </si>
  <si>
    <t>14/09/2024</t>
  </si>
  <si>
    <t>FAC-5851</t>
  </si>
  <si>
    <t>16/09/2024</t>
  </si>
  <si>
    <t>FAC-5852</t>
  </si>
  <si>
    <t>FAC-5853</t>
  </si>
  <si>
    <t>FAC-5854</t>
  </si>
  <si>
    <t>FAC-5855</t>
  </si>
  <si>
    <t>FAC-5856</t>
  </si>
  <si>
    <t>FAC-5857</t>
  </si>
  <si>
    <t>17/09/2024</t>
  </si>
  <si>
    <t>FAC-5858</t>
  </si>
  <si>
    <t>FAC-5859</t>
  </si>
  <si>
    <t>FAC-5860</t>
  </si>
  <si>
    <t>FAC-5861</t>
  </si>
  <si>
    <t>18/09/2024</t>
  </si>
  <si>
    <t>FAC-5862</t>
  </si>
  <si>
    <t>FAC-5863</t>
  </si>
  <si>
    <t>FAC-5864</t>
  </si>
  <si>
    <t>FAC-5865</t>
  </si>
  <si>
    <t>FAC-5866</t>
  </si>
  <si>
    <t>19/09/2024</t>
  </si>
  <si>
    <t>FAC-5867</t>
  </si>
  <si>
    <t>FAC-5868</t>
  </si>
  <si>
    <t>FAC-5869</t>
  </si>
  <si>
    <t>20/09/2024</t>
  </si>
  <si>
    <t>FAC-5870</t>
  </si>
  <si>
    <t>FAC-5871</t>
  </si>
  <si>
    <t>FAC-5872</t>
  </si>
  <si>
    <t>FAC-5873</t>
  </si>
  <si>
    <t>21/09/2024</t>
  </si>
  <si>
    <t>FAC-5874</t>
  </si>
  <si>
    <t>23/09/2024</t>
  </si>
  <si>
    <t>FAC-5875</t>
  </si>
  <si>
    <t>FAC-5876</t>
  </si>
  <si>
    <t>FAC-5877</t>
  </si>
  <si>
    <t>FAC-5878</t>
  </si>
  <si>
    <t>FAC-5879</t>
  </si>
  <si>
    <t>FAC-5880</t>
  </si>
  <si>
    <t>24/09/2024</t>
  </si>
  <si>
    <t>FAC-5881</t>
  </si>
  <si>
    <t>FAC-5882</t>
  </si>
  <si>
    <t>FAC-5883</t>
  </si>
  <si>
    <t>FAC-5884</t>
  </si>
  <si>
    <t>25/09/2024</t>
  </si>
  <si>
    <t>FAC-5885</t>
  </si>
  <si>
    <t>FAC-5886</t>
  </si>
  <si>
    <t>FAC-5887</t>
  </si>
  <si>
    <t>FAC-5888</t>
  </si>
  <si>
    <t>FAC-5889</t>
  </si>
  <si>
    <t>26/09/2024</t>
  </si>
  <si>
    <t>FAC-5890</t>
  </si>
  <si>
    <t>FAC-5891</t>
  </si>
  <si>
    <t>FAC-5892</t>
  </si>
  <si>
    <t>27/09/2024</t>
  </si>
  <si>
    <t>FAC-5893</t>
  </si>
  <si>
    <t>FAC-5894</t>
  </si>
  <si>
    <t>FAC-5895</t>
  </si>
  <si>
    <t>FAC-5896</t>
  </si>
  <si>
    <t>28/09/2024</t>
  </si>
  <si>
    <t>FAC-5897</t>
  </si>
  <si>
    <t>30/09/2024</t>
  </si>
  <si>
    <t>FAC-5898</t>
  </si>
  <si>
    <t>FAC-5899</t>
  </si>
  <si>
    <t>FAC-5900</t>
  </si>
  <si>
    <t>FAC-5901</t>
  </si>
  <si>
    <t>FAC-5902</t>
  </si>
  <si>
    <t>FAC-5903</t>
  </si>
  <si>
    <t>01/10/2024</t>
  </si>
  <si>
    <t>FAC-5904</t>
  </si>
  <si>
    <t>FAC-5905</t>
  </si>
  <si>
    <t>FAC-5906</t>
  </si>
  <si>
    <t>FAC-5907</t>
  </si>
  <si>
    <t>02/10/2024</t>
  </si>
  <si>
    <t>FAC-5908</t>
  </si>
  <si>
    <t>FAC-5909</t>
  </si>
  <si>
    <t>FAC-5910</t>
  </si>
  <si>
    <t>FAC-5911</t>
  </si>
  <si>
    <t>FAC-5912</t>
  </si>
  <si>
    <t>03/10/2024</t>
  </si>
  <si>
    <t>FAC-5913</t>
  </si>
  <si>
    <t>FAC-5914</t>
  </si>
  <si>
    <t>FAC-5915</t>
  </si>
  <si>
    <t>04/10/2024</t>
  </si>
  <si>
    <t>FAC-5916</t>
  </si>
  <si>
    <t>FAC-5917</t>
  </si>
  <si>
    <t>FAC-5918</t>
  </si>
  <si>
    <t>FAC-5919</t>
  </si>
  <si>
    <t>05/10/2024</t>
  </si>
  <si>
    <t>FAC-5920</t>
  </si>
  <si>
    <t>07/10/2024</t>
  </si>
  <si>
    <t>FAC-5921</t>
  </si>
  <si>
    <t>FAC-5922</t>
  </si>
  <si>
    <t>FAC-5923</t>
  </si>
  <si>
    <t>FAC-5924</t>
  </si>
  <si>
    <t>FAC-5925</t>
  </si>
  <si>
    <t>FAC-5926</t>
  </si>
  <si>
    <t>08/10/2024</t>
  </si>
  <si>
    <t>FAC-5927</t>
  </si>
  <si>
    <t>FAC-5928</t>
  </si>
  <si>
    <t>FAC-5929</t>
  </si>
  <si>
    <t>FAC-5930</t>
  </si>
  <si>
    <t>09/10/2024</t>
  </si>
  <si>
    <t>FAC-5931</t>
  </si>
  <si>
    <t>FAC-5932</t>
  </si>
  <si>
    <t>FAC-5933</t>
  </si>
  <si>
    <t>FAC-5934</t>
  </si>
  <si>
    <t>FAC-5935</t>
  </si>
  <si>
    <t>10/10/2024</t>
  </si>
  <si>
    <t>FAC-5936</t>
  </si>
  <si>
    <t>FAC-5937</t>
  </si>
  <si>
    <t>FAC-5938</t>
  </si>
  <si>
    <t>11/10/2024</t>
  </si>
  <si>
    <t>FAC-5939</t>
  </si>
  <si>
    <t>FAC-5940</t>
  </si>
  <si>
    <t>FAC-5941</t>
  </si>
  <si>
    <t>FAC-5942</t>
  </si>
  <si>
    <t>12/10/2024</t>
  </si>
  <si>
    <t>FAC-5943</t>
  </si>
  <si>
    <t>14/10/2024</t>
  </si>
  <si>
    <t>FAC-5944</t>
  </si>
  <si>
    <t>FAC-5945</t>
  </si>
  <si>
    <t>FAC-5946</t>
  </si>
  <si>
    <t>FAC-5947</t>
  </si>
  <si>
    <t>FAC-5948</t>
  </si>
  <si>
    <t>FAC-5949</t>
  </si>
  <si>
    <t>15/10/2024</t>
  </si>
  <si>
    <t>FAC-5950</t>
  </si>
  <si>
    <t>FAC-5951</t>
  </si>
  <si>
    <t>FAC-5952</t>
  </si>
  <si>
    <t>FAC-5953</t>
  </si>
  <si>
    <t>16/10/2024</t>
  </si>
  <si>
    <t>FAC-5954</t>
  </si>
  <si>
    <t>FAC-5955</t>
  </si>
  <si>
    <t>FAC-5956</t>
  </si>
  <si>
    <t>FAC-5957</t>
  </si>
  <si>
    <t>FAC-5958</t>
  </si>
  <si>
    <t>17/10/2024</t>
  </si>
  <si>
    <t>FAC-5959</t>
  </si>
  <si>
    <t>FAC-5960</t>
  </si>
  <si>
    <t>FAC-5961</t>
  </si>
  <si>
    <t>18/10/2024</t>
  </si>
  <si>
    <t>FAC-5962</t>
  </si>
  <si>
    <t>FAC-5963</t>
  </si>
  <si>
    <t>FAC-5964</t>
  </si>
  <si>
    <t>FAC-5965</t>
  </si>
  <si>
    <t>19/10/2024</t>
  </si>
  <si>
    <t>FAC-5966</t>
  </si>
  <si>
    <t>21/10/2024</t>
  </si>
  <si>
    <t>FAC-5967</t>
  </si>
  <si>
    <t>FAC-5968</t>
  </si>
  <si>
    <t>FAC-5969</t>
  </si>
  <si>
    <t>FAC-5970</t>
  </si>
  <si>
    <t>FAC-5971</t>
  </si>
  <si>
    <t>FAC-5972</t>
  </si>
  <si>
    <t>22/10/2024</t>
  </si>
  <si>
    <t>FAC-5973</t>
  </si>
  <si>
    <t>FAC-5974</t>
  </si>
  <si>
    <t>FAC-5975</t>
  </si>
  <si>
    <t>FAC-5976</t>
  </si>
  <si>
    <t>23/10/2024</t>
  </si>
  <si>
    <t>FAC-5977</t>
  </si>
  <si>
    <t>FAC-5978</t>
  </si>
  <si>
    <t>FAC-5979</t>
  </si>
  <si>
    <t>FAC-5980</t>
  </si>
  <si>
    <t>FAC-5981</t>
  </si>
  <si>
    <t>24/10/2024</t>
  </si>
  <si>
    <t>FAC-5982</t>
  </si>
  <si>
    <t>FAC-5983</t>
  </si>
  <si>
    <t>FAC-5984</t>
  </si>
  <si>
    <t>25/10/2024</t>
  </si>
  <si>
    <t>FAC-5985</t>
  </si>
  <si>
    <t>FAC-5986</t>
  </si>
  <si>
    <t>FAC-5987</t>
  </si>
  <si>
    <t>FAC-5988</t>
  </si>
  <si>
    <t>26/10/2024</t>
  </si>
  <si>
    <t>FAC-5989</t>
  </si>
  <si>
    <t>28/10/2024</t>
  </si>
  <si>
    <t>FAC-5990</t>
  </si>
  <si>
    <t>FAC-5991</t>
  </si>
  <si>
    <t>FAC-5992</t>
  </si>
  <si>
    <t>FAC-5993</t>
  </si>
  <si>
    <t>FAC-5994</t>
  </si>
  <si>
    <t>FAC-5995</t>
  </si>
  <si>
    <t>29/10/2024</t>
  </si>
  <si>
    <t>FAC-5996</t>
  </si>
  <si>
    <t>FAC-5997</t>
  </si>
  <si>
    <t>FAC-5998</t>
  </si>
  <si>
    <t>FAC-5999</t>
  </si>
  <si>
    <t>30/10/2024</t>
  </si>
  <si>
    <t>FAC-6000</t>
  </si>
  <si>
    <t>FAC-6001</t>
  </si>
  <si>
    <t>FAC-6002</t>
  </si>
  <si>
    <t>FAC-6003</t>
  </si>
  <si>
    <t>FAC-6004</t>
  </si>
  <si>
    <t>31/10/2024</t>
  </si>
  <si>
    <t>FAC-6005</t>
  </si>
  <si>
    <t>FAC-6006</t>
  </si>
  <si>
    <t>FAC-6007</t>
  </si>
  <si>
    <t>01/11/2024</t>
  </si>
  <si>
    <t>FAC-6008</t>
  </si>
  <si>
    <t>FAC-6009</t>
  </si>
  <si>
    <t>FAC-6010</t>
  </si>
  <si>
    <t>FAC-6011</t>
  </si>
  <si>
    <t>02/11/2024</t>
  </si>
  <si>
    <t>FAC-6012</t>
  </si>
  <si>
    <t>04/11/2024</t>
  </si>
  <si>
    <t>FAC-6013</t>
  </si>
  <si>
    <t>FAC-6014</t>
  </si>
  <si>
    <t>FAC-6015</t>
  </si>
  <si>
    <t>FAC-6016</t>
  </si>
  <si>
    <t>FAC-6017</t>
  </si>
  <si>
    <t>FAC-6018</t>
  </si>
  <si>
    <t>05/11/2024</t>
  </si>
  <si>
    <t>FAC-6019</t>
  </si>
  <si>
    <t>FAC-6020</t>
  </si>
  <si>
    <t>FAC-6021</t>
  </si>
  <si>
    <t>FAC-6022</t>
  </si>
  <si>
    <t>06/11/2024</t>
  </si>
  <si>
    <t>FAC-6023</t>
  </si>
  <si>
    <t>FAC-6024</t>
  </si>
  <si>
    <t>FAC-6025</t>
  </si>
  <si>
    <t>FAC-6026</t>
  </si>
  <si>
    <t>FAC-6027</t>
  </si>
  <si>
    <t>07/11/2024</t>
  </si>
  <si>
    <t>FAC-6028</t>
  </si>
  <si>
    <t>FAC-6029</t>
  </si>
  <si>
    <t>FAC-6030</t>
  </si>
  <si>
    <t>08/11/2024</t>
  </si>
  <si>
    <t>FAC-6031</t>
  </si>
  <si>
    <t>FAC-6032</t>
  </si>
  <si>
    <t>FAC-6033</t>
  </si>
  <si>
    <t>FAC-6034</t>
  </si>
  <si>
    <t>09/11/2024</t>
  </si>
  <si>
    <t>FAC-6035</t>
  </si>
  <si>
    <t>11/11/2024</t>
  </si>
  <si>
    <t>FAC-6036</t>
  </si>
  <si>
    <t>FAC-6037</t>
  </si>
  <si>
    <t>FAC-6038</t>
  </si>
  <si>
    <t>FAC-6039</t>
  </si>
  <si>
    <t>FAC-6040</t>
  </si>
  <si>
    <t>FAC-6041</t>
  </si>
  <si>
    <t>12/11/2024</t>
  </si>
  <si>
    <t>FAC-6042</t>
  </si>
  <si>
    <t>FAC-6043</t>
  </si>
  <si>
    <t>FAC-6044</t>
  </si>
  <si>
    <t>FAC-6045</t>
  </si>
  <si>
    <t>13/11/2024</t>
  </si>
  <si>
    <t>FAC-6046</t>
  </si>
  <si>
    <t>FAC-6047</t>
  </si>
  <si>
    <t>FAC-6048</t>
  </si>
  <si>
    <t>FAC-6049</t>
  </si>
  <si>
    <t>FAC-6050</t>
  </si>
  <si>
    <t>14/11/2024</t>
  </si>
  <si>
    <t>FAC-6051</t>
  </si>
  <si>
    <t>FAC-6052</t>
  </si>
  <si>
    <t>FAC-6053</t>
  </si>
  <si>
    <t>15/11/2024</t>
  </si>
  <si>
    <t>FAC-6054</t>
  </si>
  <si>
    <t>FAC-6055</t>
  </si>
  <si>
    <t>FAC-6056</t>
  </si>
  <si>
    <t>FAC-6057</t>
  </si>
  <si>
    <t>16/11/2024</t>
  </si>
  <si>
    <t>FAC-6058</t>
  </si>
  <si>
    <t>18/11/2024</t>
  </si>
  <si>
    <t>FAC-6059</t>
  </si>
  <si>
    <t>FAC-6060</t>
  </si>
  <si>
    <t>FAC-6061</t>
  </si>
  <si>
    <t>FAC-6062</t>
  </si>
  <si>
    <t>FAC-6063</t>
  </si>
  <si>
    <t>FAC-6064</t>
  </si>
  <si>
    <t>19/11/2024</t>
  </si>
  <si>
    <t>FAC-6065</t>
  </si>
  <si>
    <t>FAC-6066</t>
  </si>
  <si>
    <t>FAC-6067</t>
  </si>
  <si>
    <t>FAC-6068</t>
  </si>
  <si>
    <t>20/11/2024</t>
  </si>
  <si>
    <t>FAC-6069</t>
  </si>
  <si>
    <t>FAC-6070</t>
  </si>
  <si>
    <t>FAC-6071</t>
  </si>
  <si>
    <t>FAC-6072</t>
  </si>
  <si>
    <t>FAC-6073</t>
  </si>
  <si>
    <t>21/11/2024</t>
  </si>
  <si>
    <t>FAC-6074</t>
  </si>
  <si>
    <t>FAC-6075</t>
  </si>
  <si>
    <t>FAC-6076</t>
  </si>
  <si>
    <t>22/11/2024</t>
  </si>
  <si>
    <t>FAC-6077</t>
  </si>
  <si>
    <t>FAC-6078</t>
  </si>
  <si>
    <t>FAC-6079</t>
  </si>
  <si>
    <t>FAC-6080</t>
  </si>
  <si>
    <t>23/11/2024</t>
  </si>
  <si>
    <t>FAC-6081</t>
  </si>
  <si>
    <t>25/11/2024</t>
  </si>
  <si>
    <t>FAC-6082</t>
  </si>
  <si>
    <t>FAC-6083</t>
  </si>
  <si>
    <t>FAC-6084</t>
  </si>
  <si>
    <t>FAC-6085</t>
  </si>
  <si>
    <t>FAC-6086</t>
  </si>
  <si>
    <t>FAC-6087</t>
  </si>
  <si>
    <t>26/11/2024</t>
  </si>
  <si>
    <t>FAC-6088</t>
  </si>
  <si>
    <t>FAC-6089</t>
  </si>
  <si>
    <t>FAC-6090</t>
  </si>
  <si>
    <t>FAC-6091</t>
  </si>
  <si>
    <t>27/11/2024</t>
  </si>
  <si>
    <t>FAC-6092</t>
  </si>
  <si>
    <t>FAC-6093</t>
  </si>
  <si>
    <t>FAC-6094</t>
  </si>
  <si>
    <t>FAC-6095</t>
  </si>
  <si>
    <t>FAC-6096</t>
  </si>
  <si>
    <t>28/11/2024</t>
  </si>
  <si>
    <t>FAC-6097</t>
  </si>
  <si>
    <t>FAC-6098</t>
  </si>
  <si>
    <t>FAC-6099</t>
  </si>
  <si>
    <t>29/11/2024</t>
  </si>
  <si>
    <t>FAC-6100</t>
  </si>
  <si>
    <t>FAC-6101</t>
  </si>
  <si>
    <t>FAC-6102</t>
  </si>
  <si>
    <t>FAC-6103</t>
  </si>
  <si>
    <t>30/11/2024</t>
  </si>
  <si>
    <t>FAC-6104</t>
  </si>
  <si>
    <t>02/12/2024</t>
  </si>
  <si>
    <t>FAC-6105</t>
  </si>
  <si>
    <t>FAC-6106</t>
  </si>
  <si>
    <t>FAC-6107</t>
  </si>
  <si>
    <t>FAC-6108</t>
  </si>
  <si>
    <t>FAC-6109</t>
  </si>
  <si>
    <t>FAC-6110</t>
  </si>
  <si>
    <t>03/12/2024</t>
  </si>
  <si>
    <t>FAC-6111</t>
  </si>
  <si>
    <t>FAC-6112</t>
  </si>
  <si>
    <t>FAC-6113</t>
  </si>
  <si>
    <t>FAC-6114</t>
  </si>
  <si>
    <t>04/12/2024</t>
  </si>
  <si>
    <t>FAC-6115</t>
  </si>
  <si>
    <t>FAC-6116</t>
  </si>
  <si>
    <t>FAC-6117</t>
  </si>
  <si>
    <t>FAC-6118</t>
  </si>
  <si>
    <t>FAC-6119</t>
  </si>
  <si>
    <t>05/12/2024</t>
  </si>
  <si>
    <t>FAC-6120</t>
  </si>
  <si>
    <t>FAC-6121</t>
  </si>
  <si>
    <t>FAC-6122</t>
  </si>
  <si>
    <t>06/12/2024</t>
  </si>
  <si>
    <t>FAC-6123</t>
  </si>
  <si>
    <t>FAC-6124</t>
  </si>
  <si>
    <t>FAC-6125</t>
  </si>
  <si>
    <t>FAC-6126</t>
  </si>
  <si>
    <t>07/12/2024</t>
  </si>
  <si>
    <t>FAC-6127</t>
  </si>
  <si>
    <t>09/12/2024</t>
  </si>
  <si>
    <t>FAC-6128</t>
  </si>
  <si>
    <t>FAC-6129</t>
  </si>
  <si>
    <t>FAC-6130</t>
  </si>
  <si>
    <t>FAC-6131</t>
  </si>
  <si>
    <t>FAC-6132</t>
  </si>
  <si>
    <t>FAC-6133</t>
  </si>
  <si>
    <t>10/12/2024</t>
  </si>
  <si>
    <t>FAC-6134</t>
  </si>
  <si>
    <t>FAC-6135</t>
  </si>
  <si>
    <t>FAC-6136</t>
  </si>
  <si>
    <t>FAC-6137</t>
  </si>
  <si>
    <t>11/12/2024</t>
  </si>
  <si>
    <t>FAC-6138</t>
  </si>
  <si>
    <t>FAC-6139</t>
  </si>
  <si>
    <t>FAC-6140</t>
  </si>
  <si>
    <t>FAC-6141</t>
  </si>
  <si>
    <t>FAC-6142</t>
  </si>
  <si>
    <t>12/12/2024</t>
  </si>
  <si>
    <t>FAC-6143</t>
  </si>
  <si>
    <t>FAC-6144</t>
  </si>
  <si>
    <t>FAC-6145</t>
  </si>
  <si>
    <t>13/12/2024</t>
  </si>
  <si>
    <t>FAC-6146</t>
  </si>
  <si>
    <t>FAC-6147</t>
  </si>
  <si>
    <t>FAC-6148</t>
  </si>
  <si>
    <t>FAC-6149</t>
  </si>
  <si>
    <t>14/12/2024</t>
  </si>
  <si>
    <t>FAC-6150</t>
  </si>
  <si>
    <t>16/12/2024</t>
  </si>
  <si>
    <t>FAC-6151</t>
  </si>
  <si>
    <t>FAC-6152</t>
  </si>
  <si>
    <t>FAC-6153</t>
  </si>
  <si>
    <t>FAC-6154</t>
  </si>
  <si>
    <t>FAC-6155</t>
  </si>
  <si>
    <t>FAC-6156</t>
  </si>
  <si>
    <t>17/12/2024</t>
  </si>
  <si>
    <t>FAC-6157</t>
  </si>
  <si>
    <t>FAC-6158</t>
  </si>
  <si>
    <t>FAC-6159</t>
  </si>
  <si>
    <t>FAC-6160</t>
  </si>
  <si>
    <t>18/12/2024</t>
  </si>
  <si>
    <t>FAC-6161</t>
  </si>
  <si>
    <t>FAC-6162</t>
  </si>
  <si>
    <t>FAC-6163</t>
  </si>
  <si>
    <t>FAC-6164</t>
  </si>
  <si>
    <t>FAC-6165</t>
  </si>
  <si>
    <t>19/12/2024</t>
  </si>
  <si>
    <t>FAC-6166</t>
  </si>
  <si>
    <t>FAC-6167</t>
  </si>
  <si>
    <t>FAC-6168</t>
  </si>
  <si>
    <t>20/12/2024</t>
  </si>
  <si>
    <t>FAC-6169</t>
  </si>
  <si>
    <t>FAC-6170</t>
  </si>
  <si>
    <t>FAC-6171</t>
  </si>
  <si>
    <t>FAC-6172</t>
  </si>
  <si>
    <t>21/12/2024</t>
  </si>
  <si>
    <t>FAC-6173</t>
  </si>
  <si>
    <t>23/12/2024</t>
  </si>
  <si>
    <t>FAC-6174</t>
  </si>
  <si>
    <t>FAC-6175</t>
  </si>
  <si>
    <t>FAC-6176</t>
  </si>
  <si>
    <t>FAC-6177</t>
  </si>
  <si>
    <t>FAC-6178</t>
  </si>
  <si>
    <t>FAC-6179</t>
  </si>
  <si>
    <t>24/12/2024</t>
  </si>
  <si>
    <t>FAC-6180</t>
  </si>
  <si>
    <t>FAC-6181</t>
  </si>
  <si>
    <t>FAC-6182</t>
  </si>
  <si>
    <t>FAC-6183</t>
  </si>
  <si>
    <t>25/12/2024</t>
  </si>
  <si>
    <t>FAC-6184</t>
  </si>
  <si>
    <t>FAC-6185</t>
  </si>
  <si>
    <t>FAC-6186</t>
  </si>
  <si>
    <t>FAC-6187</t>
  </si>
  <si>
    <t>FAC-6188</t>
  </si>
  <si>
    <t>26/12/2024</t>
  </si>
  <si>
    <t>FAC-6189</t>
  </si>
  <si>
    <t>FAC-6190</t>
  </si>
  <si>
    <t>FAC-6191</t>
  </si>
  <si>
    <t>27/12/2024</t>
  </si>
  <si>
    <t>FAC-6192</t>
  </si>
  <si>
    <t>FAC-6193</t>
  </si>
  <si>
    <t>FAC-6194</t>
  </si>
  <si>
    <t>FAC-6195</t>
  </si>
  <si>
    <t>28/12/2024</t>
  </si>
  <si>
    <t>FAC-6196</t>
  </si>
  <si>
    <t>30/12/2024</t>
  </si>
  <si>
    <t>FAC-6197</t>
  </si>
  <si>
    <t>FAC-6198</t>
  </si>
  <si>
    <t>FAC-6199</t>
  </si>
  <si>
    <t>FAC-6200</t>
  </si>
  <si>
    <t>FAC-6201</t>
  </si>
  <si>
    <t>FAC-6202</t>
  </si>
  <si>
    <t>31/12/2024</t>
  </si>
  <si>
    <t>FAC-6203</t>
  </si>
  <si>
    <t>FAC-6204</t>
  </si>
  <si>
    <t>FAC-6205</t>
  </si>
  <si>
    <t>Liste fournisseurs</t>
  </si>
  <si>
    <t>Tableaux de corespondance</t>
  </si>
  <si>
    <t>Fournissuer ajusté</t>
  </si>
  <si>
    <t>Lest des ingrediant</t>
  </si>
  <si>
    <t>Ingredient ajusté</t>
  </si>
  <si>
    <t>Coca Cola</t>
  </si>
  <si>
    <t>7up</t>
  </si>
  <si>
    <t>Sel</t>
  </si>
  <si>
    <t>Tomates pelées</t>
  </si>
  <si>
    <t>Huile olive</t>
  </si>
  <si>
    <t>Sauce tomate</t>
  </si>
  <si>
    <t>Viande hachée</t>
  </si>
  <si>
    <t>Poulet émincé</t>
  </si>
  <si>
    <t>Pain burger</t>
  </si>
  <si>
    <t>Pain pita</t>
  </si>
  <si>
    <t>Farine</t>
  </si>
  <si>
    <t>Mozzarella</t>
  </si>
  <si>
    <t>MAX</t>
  </si>
  <si>
    <t>MIN</t>
  </si>
  <si>
    <t>AVERAGE</t>
  </si>
  <si>
    <t>List des ingredients</t>
  </si>
  <si>
    <t>Mois</t>
  </si>
  <si>
    <t>Row Labels</t>
  </si>
  <si>
    <t>Grand Total</t>
  </si>
  <si>
    <t>Sum of Quantite_Livree</t>
  </si>
  <si>
    <t>Column Labels</t>
  </si>
  <si>
    <t>janvier</t>
  </si>
  <si>
    <t>février</t>
  </si>
  <si>
    <t>mars</t>
  </si>
  <si>
    <t>avril</t>
  </si>
  <si>
    <t>mai</t>
  </si>
  <si>
    <t>juin</t>
  </si>
  <si>
    <t>juillet</t>
  </si>
  <si>
    <t>août</t>
  </si>
  <si>
    <t>septembre</t>
  </si>
  <si>
    <t>octobre</t>
  </si>
  <si>
    <t>novembre</t>
  </si>
  <si>
    <t>décembre</t>
  </si>
  <si>
    <t>Couts</t>
  </si>
  <si>
    <t>Sum of Couts</t>
  </si>
  <si>
    <t>Prix unitaire</t>
  </si>
  <si>
    <t>MODE QT</t>
  </si>
  <si>
    <t>Quantité corrigé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</si>
</sst>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 x14ac:knownFonts="1">
    <font>
      <sz val="11"/>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extLst>
        <ext xmlns:xfpb="http://schemas.microsoft.com/office/spreadsheetml/2022/featurepropertybag" uri="{C7286773-470A-42A8-94C5-96B5CB345126}">
          <xfpb:xfComplement i="0"/>
        </ext>
      </extLst>
    </xf>
  </cellXfs>
  <cellStyles count="1">
    <cellStyle name="Normal" xfId="0" builtinId="0"/>
  </cellStyles>
  <dxfs count="6">
    <dxf>
      <font>
        <color rgb="FF9C0006"/>
      </font>
      <fill>
        <patternFill>
          <bgColor rgb="FFFFC7CE"/>
        </patternFill>
      </fill>
    </dxf>
    <dxf>
      <numFmt numFmtId="164" formatCode="#,##0.00\ &quot;$&quot;"/>
    </dxf>
    <dxf>
      <numFmt numFmtId="164" formatCode="#,##0.00\ &quot;$&quot;"/>
    </dxf>
    <dxf>
      <numFmt numFmtId="164" formatCode="#,##0.00\ &quot;$&quot;"/>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22/11/relationships/FeaturePropertyBag" Target="featurePropertyBag/featurePropertyBag.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[factures_fournisseurs_brut.xlsx]Final sheet!PivotTable4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'Final sheet'!$N$25:$N$26</c:f>
              <c:strCache>
                <c:ptCount val="1"/>
                <c:pt idx="0">
                  <c:v>7up</c:v>
                </c:pt>
              </c:strCache>
            </c:strRef>
          </c:tx>
          <c:spPr>
            <a:ln w="28575" cap="rnd">
              <a:solidFill>
                <a:schemeClr val="accent1"/>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sheet'!$N$27:$N$39</c:f>
              <c:numCache>
                <c:formatCode>#\ ##0.00\ "$"</c:formatCode>
                <c:ptCount val="12"/>
                <c:pt idx="0">
                  <c:v>575.2299999999999</c:v>
                </c:pt>
                <c:pt idx="1">
                  <c:v>477.64</c:v>
                </c:pt>
                <c:pt idx="2">
                  <c:v>558.2600000000001</c:v>
                </c:pt>
                <c:pt idx="3">
                  <c:v>583.35</c:v>
                </c:pt>
                <c:pt idx="4">
                  <c:v>563.5</c:v>
                </c:pt>
                <c:pt idx="5">
                  <c:v>471.23</c:v>
                </c:pt>
                <c:pt idx="6">
                  <c:v>576.04999999999995</c:v>
                </c:pt>
                <c:pt idx="7">
                  <c:v>528.06000000000006</c:v>
                </c:pt>
                <c:pt idx="8">
                  <c:v>514.36</c:v>
                </c:pt>
                <c:pt idx="9">
                  <c:v>599.63</c:v>
                </c:pt>
                <c:pt idx="10">
                  <c:v>487.65</c:v>
                </c:pt>
                <c:pt idx="11">
                  <c:v>519.89</c:v>
                </c:pt>
              </c:numCache>
            </c:numRef>
          </c:val>
          <c:smooth val="0"/>
          <c:extLst>
            <c:ext xmlns:c16="http://schemas.microsoft.com/office/drawing/2014/chart" uri="{C3380CC4-5D6E-409C-BE32-E72D297353CC}">
              <c16:uniqueId val="{00000000-BB22-42A8-8AD4-B60F88D5FA82}"/>
            </c:ext>
          </c:extLst>
        </c:ser>
        <c:ser>
          <c:idx val="1"/>
          <c:order val="1"/>
          <c:tx>
            <c:strRef>
              <c:f>'Final sheet'!$O$25:$O$26</c:f>
              <c:strCache>
                <c:ptCount val="1"/>
                <c:pt idx="0">
                  <c:v>Coca Cola</c:v>
                </c:pt>
              </c:strCache>
            </c:strRef>
          </c:tx>
          <c:spPr>
            <a:ln w="28575" cap="rnd">
              <a:solidFill>
                <a:schemeClr val="accent2"/>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sheet'!$O$27:$O$39</c:f>
              <c:numCache>
                <c:formatCode>#\ ##0.00\ "$"</c:formatCode>
                <c:ptCount val="12"/>
                <c:pt idx="0">
                  <c:v>596.38</c:v>
                </c:pt>
                <c:pt idx="1">
                  <c:v>670.7299999999999</c:v>
                </c:pt>
                <c:pt idx="2">
                  <c:v>517.02</c:v>
                </c:pt>
                <c:pt idx="3">
                  <c:v>615.30000000000007</c:v>
                </c:pt>
                <c:pt idx="4">
                  <c:v>616.16999999999985</c:v>
                </c:pt>
                <c:pt idx="5">
                  <c:v>509.63</c:v>
                </c:pt>
                <c:pt idx="6">
                  <c:v>612.80999999999995</c:v>
                </c:pt>
                <c:pt idx="7">
                  <c:v>601.49</c:v>
                </c:pt>
                <c:pt idx="8">
                  <c:v>622.12</c:v>
                </c:pt>
                <c:pt idx="9">
                  <c:v>646.54999999999995</c:v>
                </c:pt>
                <c:pt idx="10">
                  <c:v>518.64</c:v>
                </c:pt>
                <c:pt idx="11">
                  <c:v>582.8599999999999</c:v>
                </c:pt>
              </c:numCache>
            </c:numRef>
          </c:val>
          <c:smooth val="0"/>
          <c:extLst>
            <c:ext xmlns:c16="http://schemas.microsoft.com/office/drawing/2014/chart" uri="{C3380CC4-5D6E-409C-BE32-E72D297353CC}">
              <c16:uniqueId val="{00000001-40AC-428A-891D-94CDBF6D1992}"/>
            </c:ext>
          </c:extLst>
        </c:ser>
        <c:ser>
          <c:idx val="2"/>
          <c:order val="2"/>
          <c:tx>
            <c:strRef>
              <c:f>'Final sheet'!$P$25:$P$26</c:f>
              <c:strCache>
                <c:ptCount val="1"/>
                <c:pt idx="0">
                  <c:v>Farine</c:v>
                </c:pt>
              </c:strCache>
            </c:strRef>
          </c:tx>
          <c:spPr>
            <a:ln w="28575" cap="rnd">
              <a:solidFill>
                <a:schemeClr val="accent3"/>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sheet'!$P$27:$P$39</c:f>
              <c:numCache>
                <c:formatCode>#\ ##0.00\ "$"</c:formatCode>
                <c:ptCount val="12"/>
                <c:pt idx="0">
                  <c:v>225.12</c:v>
                </c:pt>
                <c:pt idx="1">
                  <c:v>202.73</c:v>
                </c:pt>
                <c:pt idx="2">
                  <c:v>223.2</c:v>
                </c:pt>
                <c:pt idx="3">
                  <c:v>162.5</c:v>
                </c:pt>
                <c:pt idx="4">
                  <c:v>243.26999999999998</c:v>
                </c:pt>
                <c:pt idx="5">
                  <c:v>128.65</c:v>
                </c:pt>
                <c:pt idx="6">
                  <c:v>263.54000000000002</c:v>
                </c:pt>
                <c:pt idx="7">
                  <c:v>240.71</c:v>
                </c:pt>
                <c:pt idx="8">
                  <c:v>182.95999999999998</c:v>
                </c:pt>
                <c:pt idx="9">
                  <c:v>276.64</c:v>
                </c:pt>
                <c:pt idx="10">
                  <c:v>224.74</c:v>
                </c:pt>
                <c:pt idx="11">
                  <c:v>208.08999999999997</c:v>
                </c:pt>
              </c:numCache>
            </c:numRef>
          </c:val>
          <c:smooth val="0"/>
          <c:extLst>
            <c:ext xmlns:c16="http://schemas.microsoft.com/office/drawing/2014/chart" uri="{C3380CC4-5D6E-409C-BE32-E72D297353CC}">
              <c16:uniqueId val="{00000002-40AC-428A-891D-94CDBF6D1992}"/>
            </c:ext>
          </c:extLst>
        </c:ser>
        <c:ser>
          <c:idx val="3"/>
          <c:order val="3"/>
          <c:tx>
            <c:strRef>
              <c:f>'Final sheet'!$Q$25:$Q$26</c:f>
              <c:strCache>
                <c:ptCount val="1"/>
                <c:pt idx="0">
                  <c:v>Huile olive</c:v>
                </c:pt>
              </c:strCache>
            </c:strRef>
          </c:tx>
          <c:spPr>
            <a:ln w="28575" cap="rnd">
              <a:solidFill>
                <a:schemeClr val="accent4"/>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sheet'!$Q$27:$Q$39</c:f>
              <c:numCache>
                <c:formatCode>#\ ##0.00\ "$"</c:formatCode>
                <c:ptCount val="12"/>
                <c:pt idx="0">
                  <c:v>1283.0999999999999</c:v>
                </c:pt>
                <c:pt idx="1">
                  <c:v>1311.3400000000001</c:v>
                </c:pt>
                <c:pt idx="2">
                  <c:v>1178.4000000000001</c:v>
                </c:pt>
                <c:pt idx="3">
                  <c:v>1247.9199999999998</c:v>
                </c:pt>
                <c:pt idx="4">
                  <c:v>1337.74</c:v>
                </c:pt>
                <c:pt idx="5">
                  <c:v>1561.1399999999999</c:v>
                </c:pt>
                <c:pt idx="6">
                  <c:v>1445.18</c:v>
                </c:pt>
                <c:pt idx="7">
                  <c:v>1127.44</c:v>
                </c:pt>
                <c:pt idx="8">
                  <c:v>1332.8000000000002</c:v>
                </c:pt>
                <c:pt idx="9">
                  <c:v>1341.6200000000003</c:v>
                </c:pt>
                <c:pt idx="10">
                  <c:v>1368.1200000000001</c:v>
                </c:pt>
                <c:pt idx="11">
                  <c:v>1155.2199999999998</c:v>
                </c:pt>
              </c:numCache>
            </c:numRef>
          </c:val>
          <c:smooth val="0"/>
          <c:extLst>
            <c:ext xmlns:c16="http://schemas.microsoft.com/office/drawing/2014/chart" uri="{C3380CC4-5D6E-409C-BE32-E72D297353CC}">
              <c16:uniqueId val="{00000003-40AC-428A-891D-94CDBF6D1992}"/>
            </c:ext>
          </c:extLst>
        </c:ser>
        <c:ser>
          <c:idx val="4"/>
          <c:order val="4"/>
          <c:tx>
            <c:strRef>
              <c:f>'Final sheet'!$R$25:$R$26</c:f>
              <c:strCache>
                <c:ptCount val="1"/>
                <c:pt idx="0">
                  <c:v>Mozzarella</c:v>
                </c:pt>
              </c:strCache>
            </c:strRef>
          </c:tx>
          <c:spPr>
            <a:ln w="28575" cap="rnd">
              <a:solidFill>
                <a:schemeClr val="accent5"/>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sheet'!$R$27:$R$39</c:f>
              <c:numCache>
                <c:formatCode>#\ ##0.00\ "$"</c:formatCode>
                <c:ptCount val="12"/>
                <c:pt idx="0">
                  <c:v>607.98</c:v>
                </c:pt>
                <c:pt idx="1">
                  <c:v>471.12</c:v>
                </c:pt>
                <c:pt idx="2">
                  <c:v>532.5</c:v>
                </c:pt>
                <c:pt idx="3">
                  <c:v>522.18000000000006</c:v>
                </c:pt>
                <c:pt idx="4">
                  <c:v>605.04</c:v>
                </c:pt>
                <c:pt idx="5">
                  <c:v>567.82000000000016</c:v>
                </c:pt>
                <c:pt idx="6">
                  <c:v>525.32000000000005</c:v>
                </c:pt>
                <c:pt idx="7">
                  <c:v>632.9</c:v>
                </c:pt>
                <c:pt idx="8">
                  <c:v>469.86</c:v>
                </c:pt>
                <c:pt idx="9">
                  <c:v>607.93999999999994</c:v>
                </c:pt>
                <c:pt idx="10">
                  <c:v>568.57999999999993</c:v>
                </c:pt>
                <c:pt idx="11">
                  <c:v>558.6</c:v>
                </c:pt>
              </c:numCache>
            </c:numRef>
          </c:val>
          <c:smooth val="0"/>
          <c:extLst>
            <c:ext xmlns:c16="http://schemas.microsoft.com/office/drawing/2014/chart" uri="{C3380CC4-5D6E-409C-BE32-E72D297353CC}">
              <c16:uniqueId val="{00000004-40AC-428A-891D-94CDBF6D1992}"/>
            </c:ext>
          </c:extLst>
        </c:ser>
        <c:ser>
          <c:idx val="5"/>
          <c:order val="5"/>
          <c:tx>
            <c:strRef>
              <c:f>'Final sheet'!$S$25:$S$26</c:f>
              <c:strCache>
                <c:ptCount val="1"/>
                <c:pt idx="0">
                  <c:v>Pain burger</c:v>
                </c:pt>
              </c:strCache>
            </c:strRef>
          </c:tx>
          <c:spPr>
            <a:ln w="28575" cap="rnd">
              <a:solidFill>
                <a:schemeClr val="accent6"/>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sheet'!$S$27:$S$39</c:f>
              <c:numCache>
                <c:formatCode>#\ ##0.00\ "$"</c:formatCode>
                <c:ptCount val="12"/>
                <c:pt idx="0">
                  <c:v>401.11</c:v>
                </c:pt>
                <c:pt idx="1">
                  <c:v>485.26000000000005</c:v>
                </c:pt>
                <c:pt idx="2">
                  <c:v>462.79</c:v>
                </c:pt>
                <c:pt idx="3">
                  <c:v>496.8</c:v>
                </c:pt>
                <c:pt idx="4">
                  <c:v>464.81</c:v>
                </c:pt>
                <c:pt idx="5">
                  <c:v>354.17</c:v>
                </c:pt>
                <c:pt idx="6">
                  <c:v>528.6</c:v>
                </c:pt>
                <c:pt idx="7">
                  <c:v>424.78000000000003</c:v>
                </c:pt>
                <c:pt idx="8">
                  <c:v>313.59999999999997</c:v>
                </c:pt>
                <c:pt idx="9">
                  <c:v>522.8900000000001</c:v>
                </c:pt>
                <c:pt idx="10">
                  <c:v>437.7</c:v>
                </c:pt>
                <c:pt idx="11">
                  <c:v>445.7600000000001</c:v>
                </c:pt>
              </c:numCache>
            </c:numRef>
          </c:val>
          <c:smooth val="0"/>
          <c:extLst>
            <c:ext xmlns:c16="http://schemas.microsoft.com/office/drawing/2014/chart" uri="{C3380CC4-5D6E-409C-BE32-E72D297353CC}">
              <c16:uniqueId val="{00000005-40AC-428A-891D-94CDBF6D1992}"/>
            </c:ext>
          </c:extLst>
        </c:ser>
        <c:ser>
          <c:idx val="6"/>
          <c:order val="6"/>
          <c:tx>
            <c:strRef>
              <c:f>'Final sheet'!$T$25:$T$26</c:f>
              <c:strCache>
                <c:ptCount val="1"/>
                <c:pt idx="0">
                  <c:v>Pain pita</c:v>
                </c:pt>
              </c:strCache>
            </c:strRef>
          </c:tx>
          <c:spPr>
            <a:ln w="28575" cap="rnd">
              <a:solidFill>
                <a:schemeClr val="accent1">
                  <a:lumMod val="60000"/>
                </a:schemeClr>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sheet'!$T$27:$T$39</c:f>
              <c:numCache>
                <c:formatCode>#\ ##0.00\ "$"</c:formatCode>
                <c:ptCount val="12"/>
                <c:pt idx="0">
                  <c:v>335.47999999999996</c:v>
                </c:pt>
                <c:pt idx="1">
                  <c:v>339.53999999999996</c:v>
                </c:pt>
                <c:pt idx="2">
                  <c:v>338.67000000000007</c:v>
                </c:pt>
                <c:pt idx="3">
                  <c:v>340.11</c:v>
                </c:pt>
                <c:pt idx="4">
                  <c:v>346.25</c:v>
                </c:pt>
                <c:pt idx="5">
                  <c:v>340.38</c:v>
                </c:pt>
                <c:pt idx="6">
                  <c:v>287.85000000000002</c:v>
                </c:pt>
                <c:pt idx="7">
                  <c:v>331.59999999999997</c:v>
                </c:pt>
                <c:pt idx="8">
                  <c:v>280.33</c:v>
                </c:pt>
                <c:pt idx="9">
                  <c:v>296.05</c:v>
                </c:pt>
                <c:pt idx="10">
                  <c:v>312.64</c:v>
                </c:pt>
                <c:pt idx="11">
                  <c:v>304.92</c:v>
                </c:pt>
              </c:numCache>
            </c:numRef>
          </c:val>
          <c:smooth val="0"/>
          <c:extLst>
            <c:ext xmlns:c16="http://schemas.microsoft.com/office/drawing/2014/chart" uri="{C3380CC4-5D6E-409C-BE32-E72D297353CC}">
              <c16:uniqueId val="{00000006-40AC-428A-891D-94CDBF6D1992}"/>
            </c:ext>
          </c:extLst>
        </c:ser>
        <c:ser>
          <c:idx val="7"/>
          <c:order val="7"/>
          <c:tx>
            <c:strRef>
              <c:f>'Final sheet'!$U$25:$U$26</c:f>
              <c:strCache>
                <c:ptCount val="1"/>
                <c:pt idx="0">
                  <c:v>Poulet émincé</c:v>
                </c:pt>
              </c:strCache>
            </c:strRef>
          </c:tx>
          <c:spPr>
            <a:ln w="28575" cap="rnd">
              <a:solidFill>
                <a:schemeClr val="accent2">
                  <a:lumMod val="60000"/>
                </a:schemeClr>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sheet'!$U$27:$U$39</c:f>
              <c:numCache>
                <c:formatCode>#\ ##0.00\ "$"</c:formatCode>
                <c:ptCount val="12"/>
                <c:pt idx="0">
                  <c:v>492.93999999999994</c:v>
                </c:pt>
                <c:pt idx="1">
                  <c:v>532.50000000000011</c:v>
                </c:pt>
                <c:pt idx="2">
                  <c:v>555.21</c:v>
                </c:pt>
                <c:pt idx="3">
                  <c:v>459.29999999999995</c:v>
                </c:pt>
                <c:pt idx="4">
                  <c:v>543.78</c:v>
                </c:pt>
                <c:pt idx="5">
                  <c:v>496.85</c:v>
                </c:pt>
                <c:pt idx="6">
                  <c:v>510.92000000000007</c:v>
                </c:pt>
                <c:pt idx="7">
                  <c:v>404.45</c:v>
                </c:pt>
                <c:pt idx="8">
                  <c:v>561.14</c:v>
                </c:pt>
                <c:pt idx="9">
                  <c:v>403.33999999999992</c:v>
                </c:pt>
                <c:pt idx="10">
                  <c:v>585.95000000000005</c:v>
                </c:pt>
                <c:pt idx="11">
                  <c:v>496.92</c:v>
                </c:pt>
              </c:numCache>
            </c:numRef>
          </c:val>
          <c:smooth val="0"/>
          <c:extLst>
            <c:ext xmlns:c16="http://schemas.microsoft.com/office/drawing/2014/chart" uri="{C3380CC4-5D6E-409C-BE32-E72D297353CC}">
              <c16:uniqueId val="{00000007-40AC-428A-891D-94CDBF6D1992}"/>
            </c:ext>
          </c:extLst>
        </c:ser>
        <c:ser>
          <c:idx val="8"/>
          <c:order val="8"/>
          <c:tx>
            <c:strRef>
              <c:f>'Final sheet'!$V$25:$V$26</c:f>
              <c:strCache>
                <c:ptCount val="1"/>
                <c:pt idx="0">
                  <c:v>Sauce tomate</c:v>
                </c:pt>
              </c:strCache>
            </c:strRef>
          </c:tx>
          <c:spPr>
            <a:ln w="28575" cap="rnd">
              <a:solidFill>
                <a:schemeClr val="accent3">
                  <a:lumMod val="60000"/>
                </a:schemeClr>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sheet'!$V$27:$V$39</c:f>
              <c:numCache>
                <c:formatCode>#\ ##0.00\ "$"</c:formatCode>
                <c:ptCount val="12"/>
                <c:pt idx="0">
                  <c:v>561.1</c:v>
                </c:pt>
                <c:pt idx="1">
                  <c:v>496.56000000000006</c:v>
                </c:pt>
                <c:pt idx="2">
                  <c:v>444.8</c:v>
                </c:pt>
                <c:pt idx="3">
                  <c:v>682.39999999999986</c:v>
                </c:pt>
                <c:pt idx="4">
                  <c:v>656.6</c:v>
                </c:pt>
                <c:pt idx="5">
                  <c:v>580.62</c:v>
                </c:pt>
                <c:pt idx="6">
                  <c:v>688.63999999999987</c:v>
                </c:pt>
                <c:pt idx="7">
                  <c:v>666.1</c:v>
                </c:pt>
                <c:pt idx="8">
                  <c:v>722.24000000000012</c:v>
                </c:pt>
                <c:pt idx="9">
                  <c:v>531.43999999999994</c:v>
                </c:pt>
                <c:pt idx="10">
                  <c:v>593.61999999999989</c:v>
                </c:pt>
                <c:pt idx="11">
                  <c:v>474.84000000000003</c:v>
                </c:pt>
              </c:numCache>
            </c:numRef>
          </c:val>
          <c:smooth val="0"/>
          <c:extLst>
            <c:ext xmlns:c16="http://schemas.microsoft.com/office/drawing/2014/chart" uri="{C3380CC4-5D6E-409C-BE32-E72D297353CC}">
              <c16:uniqueId val="{00000008-40AC-428A-891D-94CDBF6D1992}"/>
            </c:ext>
          </c:extLst>
        </c:ser>
        <c:ser>
          <c:idx val="9"/>
          <c:order val="9"/>
          <c:tx>
            <c:strRef>
              <c:f>'Final sheet'!$W$25:$W$26</c:f>
              <c:strCache>
                <c:ptCount val="1"/>
                <c:pt idx="0">
                  <c:v>Sel</c:v>
                </c:pt>
              </c:strCache>
            </c:strRef>
          </c:tx>
          <c:spPr>
            <a:ln w="28575" cap="rnd">
              <a:solidFill>
                <a:schemeClr val="accent4">
                  <a:lumMod val="60000"/>
                </a:schemeClr>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sheet'!$W$27:$W$39</c:f>
              <c:numCache>
                <c:formatCode>#\ ##0.00\ "$"</c:formatCode>
                <c:ptCount val="12"/>
                <c:pt idx="0">
                  <c:v>42.489999999999995</c:v>
                </c:pt>
                <c:pt idx="1">
                  <c:v>46.67</c:v>
                </c:pt>
                <c:pt idx="2">
                  <c:v>52.230000000000004</c:v>
                </c:pt>
                <c:pt idx="3">
                  <c:v>50.860000000000007</c:v>
                </c:pt>
                <c:pt idx="4">
                  <c:v>53.86</c:v>
                </c:pt>
                <c:pt idx="5">
                  <c:v>39.759999999999991</c:v>
                </c:pt>
                <c:pt idx="6">
                  <c:v>50.9</c:v>
                </c:pt>
                <c:pt idx="7">
                  <c:v>48.720000000000006</c:v>
                </c:pt>
                <c:pt idx="8">
                  <c:v>47.519999999999996</c:v>
                </c:pt>
                <c:pt idx="9">
                  <c:v>41.74</c:v>
                </c:pt>
                <c:pt idx="10">
                  <c:v>37.1</c:v>
                </c:pt>
                <c:pt idx="11">
                  <c:v>53.150000000000013</c:v>
                </c:pt>
              </c:numCache>
            </c:numRef>
          </c:val>
          <c:smooth val="0"/>
          <c:extLst>
            <c:ext xmlns:c16="http://schemas.microsoft.com/office/drawing/2014/chart" uri="{C3380CC4-5D6E-409C-BE32-E72D297353CC}">
              <c16:uniqueId val="{00000009-40AC-428A-891D-94CDBF6D1992}"/>
            </c:ext>
          </c:extLst>
        </c:ser>
        <c:ser>
          <c:idx val="10"/>
          <c:order val="10"/>
          <c:tx>
            <c:strRef>
              <c:f>'Final sheet'!$X$25:$X$26</c:f>
              <c:strCache>
                <c:ptCount val="1"/>
                <c:pt idx="0">
                  <c:v>Tomates pelées</c:v>
                </c:pt>
              </c:strCache>
            </c:strRef>
          </c:tx>
          <c:spPr>
            <a:ln w="28575" cap="rnd">
              <a:solidFill>
                <a:schemeClr val="accent5">
                  <a:lumMod val="60000"/>
                </a:schemeClr>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sheet'!$X$27:$X$39</c:f>
              <c:numCache>
                <c:formatCode>#\ ##0.00\ "$"</c:formatCode>
                <c:ptCount val="12"/>
                <c:pt idx="0">
                  <c:v>263.94</c:v>
                </c:pt>
                <c:pt idx="1">
                  <c:v>238.17999999999998</c:v>
                </c:pt>
                <c:pt idx="2">
                  <c:v>226.54000000000002</c:v>
                </c:pt>
                <c:pt idx="3">
                  <c:v>259.32000000000005</c:v>
                </c:pt>
                <c:pt idx="4">
                  <c:v>224.6</c:v>
                </c:pt>
                <c:pt idx="5">
                  <c:v>275.91999999999996</c:v>
                </c:pt>
                <c:pt idx="6">
                  <c:v>246.78000000000003</c:v>
                </c:pt>
                <c:pt idx="7">
                  <c:v>230.1</c:v>
                </c:pt>
                <c:pt idx="8">
                  <c:v>202.83999999999997</c:v>
                </c:pt>
                <c:pt idx="9">
                  <c:v>254.75999999999996</c:v>
                </c:pt>
                <c:pt idx="10">
                  <c:v>228.76000000000002</c:v>
                </c:pt>
                <c:pt idx="11">
                  <c:v>321.84000000000003</c:v>
                </c:pt>
              </c:numCache>
            </c:numRef>
          </c:val>
          <c:smooth val="0"/>
          <c:extLst>
            <c:ext xmlns:c16="http://schemas.microsoft.com/office/drawing/2014/chart" uri="{C3380CC4-5D6E-409C-BE32-E72D297353CC}">
              <c16:uniqueId val="{0000000C-40AC-428A-891D-94CDBF6D1992}"/>
            </c:ext>
          </c:extLst>
        </c:ser>
        <c:ser>
          <c:idx val="11"/>
          <c:order val="11"/>
          <c:tx>
            <c:strRef>
              <c:f>'Final sheet'!$Y$25:$Y$26</c:f>
              <c:strCache>
                <c:ptCount val="1"/>
                <c:pt idx="0">
                  <c:v>Viande hachée</c:v>
                </c:pt>
              </c:strCache>
            </c:strRef>
          </c:tx>
          <c:spPr>
            <a:ln w="28575" cap="rnd">
              <a:solidFill>
                <a:schemeClr val="accent6">
                  <a:lumMod val="60000"/>
                </a:schemeClr>
              </a:solidFill>
              <a:round/>
            </a:ln>
            <a:effectLst/>
          </c:spPr>
          <c:marker>
            <c:symbol val="none"/>
          </c:marker>
          <c:cat>
            <c:strRef>
              <c:f>'Final sheet'!$M$27:$M$39</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'Final sheet'!$Y$27:$Y$39</c:f>
              <c:numCache>
                <c:formatCode>#\ ##0.00\ "$"</c:formatCode>
                <c:ptCount val="12"/>
                <c:pt idx="0">
                  <c:v>445.44000000000005</c:v>
                </c:pt>
                <c:pt idx="1">
                  <c:v>642.12</c:v>
                </c:pt>
                <c:pt idx="2">
                  <c:v>727.97</c:v>
                </c:pt>
                <c:pt idx="3">
                  <c:v>684.19</c:v>
                </c:pt>
                <c:pt idx="4">
                  <c:v>660.57999999999993</c:v>
                </c:pt>
                <c:pt idx="5">
                  <c:v>620.61</c:v>
                </c:pt>
                <c:pt idx="6">
                  <c:v>686.76</c:v>
                </c:pt>
                <c:pt idx="7">
                  <c:v>642.33000000000004</c:v>
                </c:pt>
                <c:pt idx="8">
                  <c:v>473.85</c:v>
                </c:pt>
                <c:pt idx="9">
                  <c:v>590.01</c:v>
                </c:pt>
                <c:pt idx="10">
                  <c:v>729.45999999999992</c:v>
                </c:pt>
                <c:pt idx="11">
                  <c:v>647.53000000000009</c:v>
                </c:pt>
              </c:numCache>
            </c:numRef>
          </c:val>
          <c:smooth val="0"/>
          <c:extLst>
            <c:ext xmlns:c16="http://schemas.microsoft.com/office/drawing/2014/chart" uri="{C3380CC4-5D6E-409C-BE32-E72D297353CC}">
              <c16:uniqueId val="{0000000D-40AC-428A-891D-94CDBF6D1992}"/>
            </c:ext>
          </c:extLst>
        </c:ser>
        <c:dLbls>
          <c:showLegendKey val="0"/>
          <c:showVal val="0"/>
          <c:showCatName val="0"/>
          <c:showSerName val="0"/>
          <c:showPercent val="0"/>
          <c:showBubbleSize val="0"/>
        </c:dLbls>
        <c:smooth val="0"/>
        <c:axId val="29447792"/>
        <c:axId val="29438672"/>
      </c:lineChart>
      <c:catAx>
        <c:axId val="2944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438672"/>
        <c:crosses val="autoZero"/>
        <c:auto val="1"/>
        <c:lblAlgn val="ctr"/>
        <c:lblOffset val="100"/>
        <c:noMultiLvlLbl val="0"/>
      </c:catAx>
      <c:valAx>
        <c:axId val="29438672"/>
        <c:scaling>
          <c:orientation val="minMax"/>
        </c:scaling>
        <c:delete val="0"/>
        <c:axPos val="l"/>
        <c:majorGridlines>
          <c:spPr>
            <a:ln w="9525" cap="flat" cmpd="sng" algn="ctr">
              <a:solidFill>
                <a:schemeClr val="tx1">
                  <a:lumMod val="15000"/>
                  <a:lumOff val="85000"/>
                </a:schemeClr>
              </a:solidFill>
              <a:round/>
            </a:ln>
            <a:effectLst/>
          </c:spPr>
        </c:majorGridlines>
        <c:numFmt formatCode="#\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44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19050</xdr:colOff>
      <xdr:row>40</xdr:row>
      <xdr:rowOff>95250</xdr:rowOff>
    </xdr:from>
    <xdr:to>
      <xdr:col>18</xdr:col>
      <xdr:colOff>638175</xdr:colOff>
      <xdr:row>54</xdr:row>
      <xdr:rowOff>171450</xdr:rowOff>
    </xdr:to>
    <xdr:graphicFrame macro="">
      <xdr:nvGraphicFramePr>
        <xdr:cNvPr id="2" name="Chart 1">
          <a:extLst>
            <a:ext uri="{FF2B5EF4-FFF2-40B4-BE49-F238E27FC236}">
              <a16:creationId xmlns:a16="http://schemas.microsoft.com/office/drawing/2014/main" id="{6CEF4538-73E7-0CF8-1655-78EFB7DDB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438150</xdr:colOff>
      <xdr:row>40</xdr:row>
      <xdr:rowOff>133350</xdr:rowOff>
    </xdr:from>
    <xdr:to>
      <xdr:col>21</xdr:col>
      <xdr:colOff>685240</xdr:colOff>
      <xdr:row>53</xdr:row>
      <xdr:rowOff>180975</xdr:rowOff>
    </xdr:to>
    <mc:AlternateContent xmlns:mc="http://schemas.openxmlformats.org/markup-compatibility/2006" xmlns:a14="http://schemas.microsoft.com/office/drawing/2010/main">
      <mc:Choice Requires="a14">
        <xdr:graphicFrame macro="">
          <xdr:nvGraphicFramePr>
            <xdr:cNvPr id="3" name="Ingredient ajusté">
              <a:extLst>
                <a:ext uri="{FF2B5EF4-FFF2-40B4-BE49-F238E27FC236}">
                  <a16:creationId xmlns:a16="http://schemas.microsoft.com/office/drawing/2014/main" id="{27A92F2A-7DF9-08D5-9FFA-96DD389984D7}"/>
                </a:ext>
              </a:extLst>
            </xdr:cNvPr>
            <xdr:cNvGraphicFramePr/>
          </xdr:nvGraphicFramePr>
          <xdr:xfrm>
            <a:off x="0" y="0"/>
            <a:ext cx="0" cy="0"/>
          </xdr:xfrm>
          <a:graphic>
            <a:graphicData uri="http://schemas.microsoft.com/office/drawing/2010/slicer">
              <sle:slicer xmlns:sle="http://schemas.microsoft.com/office/drawing/2010/slicer" name="Ingredient ajusté"/>
            </a:graphicData>
          </a:graphic>
        </xdr:graphicFrame>
      </mc:Choice>
      <mc:Fallback xmlns="">
        <xdr:sp macro="" textlink="">
          <xdr:nvSpPr>
            <xdr:cNvPr id="0" name=""/>
            <xdr:cNvSpPr>
              <a:spLocks noTextEdit="1"/>
            </xdr:cNvSpPr>
          </xdr:nvSpPr>
          <xdr:spPr>
            <a:xfrm>
              <a:off x="16092768" y="7753350"/>
              <a:ext cx="1827120" cy="2524125"/>
            </a:xfrm>
            <a:prstGeom prst="rect">
              <a:avLst/>
            </a:prstGeom>
            <a:solidFill>
              <a:prstClr val="white"/>
            </a:solidFill>
            <a:ln w="1">
              <a:solidFill>
                <a:prstClr val="green"/>
              </a:solidFill>
            </a:ln>
          </xdr:spPr>
          <xdr:txBody>
            <a:bodyPr vertOverflow="clip" horzOverflow="clip"/>
            <a:lstStyle/>
            <a:p>
              <a:r>
                <a:rPr lang="fr-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ayad Madihali" refreshedDate="46102.100100115742" createdVersion="8" refreshedVersion="8" minRefreshableVersion="3" recordCount="1206" xr:uid="{64517FEC-B18F-4BE4-92A6-432039EE23E2}">
  <cacheSource type="worksheet">
    <worksheetSource name="Table1"/>
  </cacheSource>
  <cacheFields count="9">
    <cacheField name="ID_Facture" numFmtId="0">
      <sharedItems/>
    </cacheField>
    <cacheField name="Date" numFmtId="0">
      <sharedItems/>
    </cacheField>
    <cacheField name="Mois" numFmtId="14">
      <sharedItems count="12">
        <s v="janvier"/>
        <s v="février"/>
        <s v="mars"/>
        <s v="avril"/>
        <s v="mai"/>
        <s v="juin"/>
        <s v="juillet"/>
        <s v="août"/>
        <s v="septembre"/>
        <s v="octobre"/>
        <s v="novembre"/>
        <s v="décembre"/>
      </sharedItems>
    </cacheField>
    <cacheField name="Fournissuer ajusté" numFmtId="0">
      <sharedItems/>
    </cacheField>
    <cacheField name="Ingredient ajusté" numFmtId="0">
      <sharedItems count="12">
        <s v="Coca Cola"/>
        <s v="7up"/>
        <s v="Sel"/>
        <s v="Tomates pelées"/>
        <s v="Huile olive"/>
        <s v="Sauce tomate"/>
        <s v="Viande hachée"/>
        <s v="Poulet émincé"/>
        <s v="Pain burger"/>
        <s v="Pain pita"/>
        <s v="Farine"/>
        <s v="Mozzarella"/>
      </sharedItems>
    </cacheField>
    <cacheField name="Quantite_Livree" numFmtId="0">
      <sharedItems containsString="0" containsBlank="1" containsNumber="1" containsInteger="1" minValue="2" maxValue="12"/>
    </cacheField>
    <cacheField name="Unite" numFmtId="0">
      <sharedItems/>
    </cacheField>
    <cacheField name="Prix_Unitaire_HT" numFmtId="0">
      <sharedItems containsSemiMixedTypes="0" containsString="0" containsNumber="1" minValue="1.17" maxValue="23.69"/>
    </cacheField>
    <cacheField name="Couts" numFmtId="0">
      <sharedItems containsSemiMixedTypes="0" containsString="0" containsNumber="1" minValue="0" maxValue="234.7"/>
    </cacheField>
  </cacheFields>
  <extLst>
    <ext xmlns:x14="http://schemas.microsoft.com/office/spreadsheetml/2009/9/main" uri="{725AE2AE-9491-48be-B2B4-4EB974FC3084}">
      <x14:pivotCacheDefinition pivotCacheId="1056961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6">
  <r>
    <s v="FAC-5000"/>
    <s v="01/01/2024"/>
    <x v="0"/>
    <s v="Metro"/>
    <x v="0"/>
    <n v="3"/>
    <s v="pack 24"/>
    <n v="14.93"/>
    <n v="44.79"/>
  </r>
  <r>
    <s v="FAC-5001"/>
    <s v="01/01/2024"/>
    <x v="0"/>
    <s v="Metro"/>
    <x v="1"/>
    <n v="3"/>
    <s v="pack 24"/>
    <n v="13.61"/>
    <n v="40.83"/>
  </r>
  <r>
    <s v="FAC-5002"/>
    <s v="01/01/2024"/>
    <x v="0"/>
    <s v="Metro"/>
    <x v="2"/>
    <n v="6"/>
    <s v="kg"/>
    <n v="1.17"/>
    <n v="7.02"/>
  </r>
  <r>
    <s v="FAC-5003"/>
    <s v="01/01/2024"/>
    <x v="0"/>
    <s v="LEGUMEX"/>
    <x v="3"/>
    <n v="4"/>
    <s v="boite 3kg"/>
    <n v="4.2699999999999996"/>
    <n v="17.079999999999998"/>
  </r>
  <r>
    <s v="FAC-5004"/>
    <s v="01/01/2024"/>
    <x v="0"/>
    <s v="LEGUMEX"/>
    <x v="4"/>
    <n v="8"/>
    <s v="bidon 5L"/>
    <n v="21.53"/>
    <n v="172.24"/>
  </r>
  <r>
    <s v="FAC-5005"/>
    <s v="01/01/2024"/>
    <x v="0"/>
    <s v="LEGUMEX"/>
    <x v="5"/>
    <n v="6"/>
    <s v="seau 5kg"/>
    <n v="10.28"/>
    <n v="61.679999999999993"/>
  </r>
  <r>
    <s v="FAC-5006"/>
    <s v="02/01/2024"/>
    <x v="0"/>
    <s v="B. Halal Pro"/>
    <x v="6"/>
    <n v="6"/>
    <s v="kg"/>
    <n v="8.99"/>
    <n v="53.94"/>
  </r>
  <r>
    <s v="FAC-5007"/>
    <s v="02/01/2024"/>
    <x v="0"/>
    <s v="B. Halal Pro"/>
    <x v="7"/>
    <n v="10"/>
    <s v="kg"/>
    <n v="6.74"/>
    <n v="67.400000000000006"/>
  </r>
  <r>
    <s v="FAC-5008"/>
    <s v="02/01/2024"/>
    <x v="0"/>
    <s v="Boul. Express"/>
    <x v="8"/>
    <n v="5"/>
    <s v="paquet x12"/>
    <n v="5.89"/>
    <n v="29.45"/>
  </r>
  <r>
    <s v="FAC-5009"/>
    <s v="02/01/2024"/>
    <x v="0"/>
    <s v="Boul. Express"/>
    <x v="9"/>
    <n v="12"/>
    <s v="paquet x10"/>
    <n v="4.05"/>
    <n v="48.599999999999994"/>
  </r>
  <r>
    <s v="FAC-5010"/>
    <s v="03/01/2024"/>
    <x v="0"/>
    <s v="LEGUMEX"/>
    <x v="3"/>
    <n v="8"/>
    <s v="boite 3kg"/>
    <n v="4.4400000000000004"/>
    <n v="35.520000000000003"/>
  </r>
  <r>
    <s v="FAC-5011"/>
    <s v="03/01/2024"/>
    <x v="0"/>
    <s v="LEGUMEX"/>
    <x v="4"/>
    <n v="6"/>
    <s v="bidon 5L"/>
    <n v="21.03"/>
    <n v="126.18"/>
  </r>
  <r>
    <s v="FAC-5012"/>
    <s v="03/01/2024"/>
    <x v="0"/>
    <s v="LEGUMEX"/>
    <x v="5"/>
    <n v="4"/>
    <s v="seau 5kg"/>
    <n v="10.4"/>
    <n v="41.6"/>
  </r>
  <r>
    <s v="FAC-5013"/>
    <s v="03/01/2024"/>
    <x v="0"/>
    <s v="Moulin du Nord"/>
    <x v="10"/>
    <n v="3"/>
    <s v="sac 25kg"/>
    <n v="18.82"/>
    <n v="56.46"/>
  </r>
  <r>
    <s v="FAC-5014"/>
    <s v="03/01/2024"/>
    <x v="0"/>
    <s v="Fromag. Centrale"/>
    <x v="11"/>
    <n v="8"/>
    <s v="kg"/>
    <n v="8.66"/>
    <n v="69.28"/>
  </r>
  <r>
    <s v="FAC-5015"/>
    <s v="04/01/2024"/>
    <x v="0"/>
    <s v="Metro"/>
    <x v="0"/>
    <n v="4"/>
    <s v="pack 24"/>
    <n v="14.66"/>
    <n v="58.64"/>
  </r>
  <r>
    <s v="FAC-5016"/>
    <s v="04/01/2024"/>
    <x v="0"/>
    <s v="Metro"/>
    <x v="1"/>
    <n v="6"/>
    <s v="pack 24"/>
    <n v="13.12"/>
    <n v="78.72"/>
  </r>
  <r>
    <s v="FAC-5017"/>
    <s v="04/01/2024"/>
    <x v="0"/>
    <s v="Metro"/>
    <x v="2"/>
    <n v="4"/>
    <s v="kg"/>
    <n v="1.24"/>
    <n v="4.96"/>
  </r>
  <r>
    <s v="FAC-5018"/>
    <s v="05/01/2024"/>
    <x v="0"/>
    <s v="B. Halal Pro"/>
    <x v="6"/>
    <n v="5"/>
    <s v="kg"/>
    <n v="8.8800000000000008"/>
    <n v="44.400000000000006"/>
  </r>
  <r>
    <s v="FAC-5019"/>
    <s v="05/01/2024"/>
    <x v="0"/>
    <s v="B. Halal Pro"/>
    <x v="7"/>
    <n v="6"/>
    <s v="kg"/>
    <n v="6.93"/>
    <n v="41.58"/>
  </r>
  <r>
    <s v="FAC-5020"/>
    <s v="05/01/2024"/>
    <x v="0"/>
    <s v="Boul. Express"/>
    <x v="8"/>
    <n v="12"/>
    <s v="paquet x12"/>
    <n v="5.76"/>
    <n v="69.12"/>
  </r>
  <r>
    <s v="FAC-5021"/>
    <s v="05/01/2024"/>
    <x v="0"/>
    <s v="Boul. Express"/>
    <x v="9"/>
    <n v="8"/>
    <s v="paquet x10"/>
    <n v="3.86"/>
    <n v="30.88"/>
  </r>
  <r>
    <s v="FAC-5022"/>
    <s v="06/01/2024"/>
    <x v="0"/>
    <s v="Fromag. Centrale"/>
    <x v="11"/>
    <n v="10"/>
    <s v="kg"/>
    <n v="9.43"/>
    <n v="94.3"/>
  </r>
  <r>
    <s v="FAC-5023"/>
    <s v="08/01/2024"/>
    <x v="0"/>
    <s v="Metro"/>
    <x v="0"/>
    <n v="5"/>
    <s v="pack 24"/>
    <n v="14.25"/>
    <n v="71.25"/>
  </r>
  <r>
    <s v="FAC-5024"/>
    <s v="08/01/2024"/>
    <x v="0"/>
    <s v="Metro"/>
    <x v="1"/>
    <n v="6"/>
    <s v="pack 24"/>
    <n v="12.91"/>
    <n v="77.460000000000008"/>
  </r>
  <r>
    <s v="FAC-5025"/>
    <s v="08/01/2024"/>
    <x v="0"/>
    <s v="Metro"/>
    <x v="2"/>
    <n v="4"/>
    <s v="kg"/>
    <n v="1.23"/>
    <n v="4.92"/>
  </r>
  <r>
    <s v="FAC-5026"/>
    <s v="08/01/2024"/>
    <x v="0"/>
    <s v="LEGUMEX"/>
    <x v="3"/>
    <n v="10"/>
    <s v="boite 3kg"/>
    <n v="4.32"/>
    <n v="43.2"/>
  </r>
  <r>
    <s v="FAC-5027"/>
    <s v="08/01/2024"/>
    <x v="0"/>
    <s v="LEGUMEX"/>
    <x v="4"/>
    <n v="4"/>
    <s v="bidon 5L"/>
    <n v="22.41"/>
    <n v="89.64"/>
  </r>
  <r>
    <s v="FAC-5028"/>
    <s v="08/01/2024"/>
    <x v="0"/>
    <s v="LEGUMEX"/>
    <x v="5"/>
    <n v="8"/>
    <s v="seau 5kg"/>
    <n v="10.18"/>
    <n v="81.44"/>
  </r>
  <r>
    <s v="FAC-5029"/>
    <s v="09/01/2024"/>
    <x v="0"/>
    <s v="B. Halal Pro"/>
    <x v="6"/>
    <n v="10"/>
    <s v="kg"/>
    <n v="8.61"/>
    <n v="86.1"/>
  </r>
  <r>
    <s v="FAC-5030"/>
    <s v="09/01/2024"/>
    <x v="0"/>
    <s v="B. Halal Pro"/>
    <x v="7"/>
    <n v="8"/>
    <s v="kg"/>
    <n v="7.72"/>
    <n v="61.76"/>
  </r>
  <r>
    <s v="FAC-5031"/>
    <s v="09/01/2024"/>
    <x v="0"/>
    <s v="Boul. Express"/>
    <x v="8"/>
    <n v="5"/>
    <s v="paquet x12"/>
    <n v="5.86"/>
    <n v="29.3"/>
  </r>
  <r>
    <s v="FAC-5032"/>
    <s v="09/01/2024"/>
    <x v="0"/>
    <s v="Boul. Express"/>
    <x v="9"/>
    <n v="8"/>
    <s v="paquet x10"/>
    <n v="4.0199999999999996"/>
    <n v="32.159999999999997"/>
  </r>
  <r>
    <s v="FAC-5033"/>
    <s v="10/01/2024"/>
    <x v="0"/>
    <s v="LEGUMEX"/>
    <x v="3"/>
    <n v="4"/>
    <s v="boite 3kg"/>
    <n v="4.28"/>
    <n v="17.12"/>
  </r>
  <r>
    <s v="FAC-5034"/>
    <s v="10/01/2024"/>
    <x v="0"/>
    <s v="LEGUMEX"/>
    <x v="4"/>
    <n v="8"/>
    <s v="bidon 5L"/>
    <n v="20.96"/>
    <n v="167.68"/>
  </r>
  <r>
    <s v="FAC-5035"/>
    <s v="10/01/2024"/>
    <x v="0"/>
    <s v="LEGUMEX"/>
    <x v="5"/>
    <n v="6"/>
    <s v="seau 5kg"/>
    <n v="9.6199999999999992"/>
    <n v="57.72"/>
  </r>
  <r>
    <s v="FAC-5036"/>
    <s v="10/01/2024"/>
    <x v="0"/>
    <s v="Moulin du Nord"/>
    <x v="10"/>
    <n v="3"/>
    <s v="sac 25kg"/>
    <n v="17.899999999999999"/>
    <n v="53.699999999999996"/>
  </r>
  <r>
    <s v="FAC-5037"/>
    <s v="10/01/2024"/>
    <x v="0"/>
    <s v="Fromag. Centrale"/>
    <x v="11"/>
    <n v="10"/>
    <s v="kg"/>
    <n v="8.5500000000000007"/>
    <n v="85.5"/>
  </r>
  <r>
    <s v="FAC-5038"/>
    <s v="11/01/2024"/>
    <x v="0"/>
    <s v="Metro"/>
    <x v="0"/>
    <n v="5"/>
    <s v="pack 24"/>
    <n v="14.65"/>
    <n v="73.25"/>
  </r>
  <r>
    <s v="FAC-5039"/>
    <s v="11/01/2024"/>
    <x v="0"/>
    <s v="Metro"/>
    <x v="1"/>
    <n v="4"/>
    <s v="pack 24"/>
    <n v="13.65"/>
    <n v="54.6"/>
  </r>
  <r>
    <s v="FAC-5040"/>
    <s v="11/01/2024"/>
    <x v="0"/>
    <s v="Metro"/>
    <x v="2"/>
    <n v="6"/>
    <s v="kg"/>
    <n v="1.26"/>
    <n v="7.5600000000000005"/>
  </r>
  <r>
    <s v="FAC-5041"/>
    <s v="12/01/2024"/>
    <x v="0"/>
    <s v="B. Halal Pro"/>
    <x v="6"/>
    <m/>
    <s v="kg"/>
    <n v="8.8699999999999992"/>
    <n v="0"/>
  </r>
  <r>
    <s v="FAC-5042"/>
    <s v="12/01/2024"/>
    <x v="0"/>
    <s v="B. Halal Pro"/>
    <x v="7"/>
    <n v="5"/>
    <s v="kg"/>
    <n v="7.3"/>
    <n v="36.5"/>
  </r>
  <r>
    <s v="FAC-5043"/>
    <s v="12/01/2024"/>
    <x v="0"/>
    <s v="Boul. Express"/>
    <x v="8"/>
    <n v="5"/>
    <s v="paquet x12"/>
    <n v="5.76"/>
    <n v="28.799999999999997"/>
  </r>
  <r>
    <s v="FAC-5044"/>
    <s v="12/01/2024"/>
    <x v="0"/>
    <s v="Boul. Express"/>
    <x v="9"/>
    <n v="10"/>
    <s v="paquet x10"/>
    <n v="3.94"/>
    <n v="39.4"/>
  </r>
  <r>
    <s v="FAC-5045"/>
    <s v="13/01/2024"/>
    <x v="0"/>
    <s v="Fromag. Centrale"/>
    <x v="11"/>
    <n v="10"/>
    <s v="kg"/>
    <n v="9.1300000000000008"/>
    <n v="91.300000000000011"/>
  </r>
  <r>
    <s v="FAC-5046"/>
    <s v="15/01/2024"/>
    <x v="0"/>
    <s v="Metro"/>
    <x v="0"/>
    <n v="6"/>
    <s v="pack 24"/>
    <n v="14.21"/>
    <n v="85.26"/>
  </r>
  <r>
    <s v="FAC-5047"/>
    <s v="15/01/2024"/>
    <x v="0"/>
    <s v="Metro"/>
    <x v="1"/>
    <n v="5"/>
    <s v="pack 24"/>
    <n v="13.31"/>
    <n v="66.55"/>
  </r>
  <r>
    <s v="FAC-5048"/>
    <s v="15/01/2024"/>
    <x v="0"/>
    <s v="Metro"/>
    <x v="2"/>
    <n v="3"/>
    <s v="kg"/>
    <n v="1.17"/>
    <n v="3.51"/>
  </r>
  <r>
    <s v="FAC-5049"/>
    <s v="15/01/2024"/>
    <x v="0"/>
    <s v="LEGUMEX"/>
    <x v="3"/>
    <n v="6"/>
    <s v="boite 3kg"/>
    <n v="4.13"/>
    <n v="24.78"/>
  </r>
  <r>
    <s v="FAC-5050"/>
    <s v="15/01/2024"/>
    <x v="0"/>
    <s v="LEGUMEX"/>
    <x v="4"/>
    <n v="8"/>
    <s v="bidon 5L"/>
    <n v="22.11"/>
    <n v="176.88"/>
  </r>
  <r>
    <s v="FAC-5051"/>
    <s v="15/01/2024"/>
    <x v="0"/>
    <s v="LEGUMEX"/>
    <x v="5"/>
    <n v="4"/>
    <s v="seau 5kg"/>
    <n v="9.8699999999999992"/>
    <n v="39.479999999999997"/>
  </r>
  <r>
    <s v="FAC-5052"/>
    <s v="16/01/2024"/>
    <x v="0"/>
    <s v="B. Halal Pro"/>
    <x v="6"/>
    <n v="6"/>
    <s v="kg"/>
    <n v="10.57"/>
    <n v="63.42"/>
  </r>
  <r>
    <s v="FAC-5053"/>
    <s v="16/01/2024"/>
    <x v="0"/>
    <s v="B. Halal Pro"/>
    <x v="7"/>
    <n v="10"/>
    <s v="kg"/>
    <n v="7.18"/>
    <n v="71.8"/>
  </r>
  <r>
    <s v="FAC-5054"/>
    <s v="16/01/2024"/>
    <x v="0"/>
    <s v="Boul. Express"/>
    <x v="8"/>
    <n v="12"/>
    <s v="paquet x12"/>
    <n v="5.82"/>
    <n v="69.84"/>
  </r>
  <r>
    <s v="FAC-5055"/>
    <s v="16/01/2024"/>
    <x v="0"/>
    <s v="Boul. Express"/>
    <x v="9"/>
    <n v="12"/>
    <s v="paquet x10"/>
    <n v="3.89"/>
    <n v="46.68"/>
  </r>
  <r>
    <s v="FAC-5056"/>
    <s v="17/01/2024"/>
    <x v="0"/>
    <s v="LEGUMEX"/>
    <x v="3"/>
    <n v="4"/>
    <s v="boite 3kg"/>
    <n v="4.1100000000000003"/>
    <n v="16.440000000000001"/>
  </r>
  <r>
    <s v="FAC-5057"/>
    <s v="17/01/2024"/>
    <x v="0"/>
    <s v="LEGUMEX"/>
    <x v="4"/>
    <n v="4"/>
    <s v="bidon 5L"/>
    <n v="23.04"/>
    <n v="92.16"/>
  </r>
  <r>
    <s v="FAC-5058"/>
    <s v="17/01/2024"/>
    <x v="0"/>
    <s v="LEGUMEX"/>
    <x v="5"/>
    <n v="6"/>
    <s v="seau 5kg"/>
    <n v="9.9499999999999993"/>
    <n v="59.699999999999996"/>
  </r>
  <r>
    <s v="FAC-5059"/>
    <s v="17/01/2024"/>
    <x v="0"/>
    <s v="Moulin du Nord"/>
    <x v="10"/>
    <n v="2"/>
    <s v="sac 25kg"/>
    <n v="19.18"/>
    <n v="38.36"/>
  </r>
  <r>
    <s v="FAC-5060"/>
    <s v="17/01/2024"/>
    <x v="0"/>
    <s v="Fromag. Centrale"/>
    <x v="11"/>
    <n v="6"/>
    <s v="kg"/>
    <n v="8.94"/>
    <n v="53.64"/>
  </r>
  <r>
    <s v="FAC-5061"/>
    <s v="18/01/2024"/>
    <x v="0"/>
    <s v="Metro"/>
    <x v="0"/>
    <n v="3"/>
    <s v="pack 24"/>
    <n v="14.51"/>
    <n v="43.53"/>
  </r>
  <r>
    <s v="FAC-5062"/>
    <s v="18/01/2024"/>
    <x v="0"/>
    <s v="Metro"/>
    <x v="1"/>
    <n v="5"/>
    <s v="pack 24"/>
    <n v="13.91"/>
    <n v="69.55"/>
  </r>
  <r>
    <s v="FAC-5063"/>
    <s v="18/01/2024"/>
    <x v="0"/>
    <s v="Metro"/>
    <x v="2"/>
    <n v="4"/>
    <s v="kg"/>
    <n v="1.19"/>
    <n v="4.76"/>
  </r>
  <r>
    <s v="FAC-5064"/>
    <s v="19/01/2024"/>
    <x v="0"/>
    <s v="B. Halal Pro"/>
    <x v="6"/>
    <m/>
    <s v="kg"/>
    <n v="9.4"/>
    <n v="0"/>
  </r>
  <r>
    <s v="FAC-5065"/>
    <s v="19/01/2024"/>
    <x v="0"/>
    <s v="B. Halal Pro"/>
    <x v="7"/>
    <n v="6"/>
    <s v="kg"/>
    <n v="6.71"/>
    <n v="40.26"/>
  </r>
  <r>
    <s v="FAC-5066"/>
    <s v="19/01/2024"/>
    <x v="0"/>
    <s v="Boul. Express"/>
    <x v="8"/>
    <n v="5"/>
    <s v="paquet x12"/>
    <n v="6.01"/>
    <n v="30.049999999999997"/>
  </r>
  <r>
    <s v="FAC-5067"/>
    <s v="19/01/2024"/>
    <x v="0"/>
    <s v="Boul. Express"/>
    <x v="9"/>
    <n v="12"/>
    <s v="paquet x10"/>
    <n v="3.89"/>
    <n v="46.68"/>
  </r>
  <r>
    <s v="FAC-5068"/>
    <s v="20/01/2024"/>
    <x v="0"/>
    <s v="Fromag. Centrale"/>
    <x v="11"/>
    <n v="4"/>
    <s v="kg"/>
    <n v="9.24"/>
    <n v="36.96"/>
  </r>
  <r>
    <s v="FAC-5069"/>
    <s v="22/01/2024"/>
    <x v="0"/>
    <s v="Metro"/>
    <x v="0"/>
    <n v="5"/>
    <s v="pack 24"/>
    <n v="15.18"/>
    <n v="75.900000000000006"/>
  </r>
  <r>
    <s v="FAC-5070"/>
    <s v="22/01/2024"/>
    <x v="0"/>
    <s v="Metro"/>
    <x v="1"/>
    <n v="5"/>
    <s v="pack 24"/>
    <n v="12.94"/>
    <n v="64.7"/>
  </r>
  <r>
    <s v="FAC-5071"/>
    <s v="22/01/2024"/>
    <x v="0"/>
    <s v="Metro"/>
    <x v="2"/>
    <n v="4"/>
    <s v="kg"/>
    <n v="1.19"/>
    <n v="4.76"/>
  </r>
  <r>
    <s v="FAC-5072"/>
    <s v="22/01/2024"/>
    <x v="0"/>
    <s v="LEGUMEX"/>
    <x v="3"/>
    <n v="8"/>
    <s v="boite 3kg"/>
    <n v="4.0999999999999996"/>
    <n v="32.799999999999997"/>
  </r>
  <r>
    <s v="FAC-5073"/>
    <s v="22/01/2024"/>
    <x v="0"/>
    <s v="LEGUMEX"/>
    <x v="4"/>
    <n v="4"/>
    <s v="bidon 5L"/>
    <n v="23.49"/>
    <n v="93.96"/>
  </r>
  <r>
    <s v="FAC-5074"/>
    <s v="22/01/2024"/>
    <x v="0"/>
    <s v="LEGUMEX"/>
    <x v="5"/>
    <m/>
    <s v="seau 5kg"/>
    <n v="10.37"/>
    <n v="0"/>
  </r>
  <r>
    <s v="FAC-5075"/>
    <s v="23/01/2024"/>
    <x v="0"/>
    <s v="B. Halal Pro"/>
    <x v="6"/>
    <n v="8"/>
    <s v="kg"/>
    <n v="9.81"/>
    <n v="78.48"/>
  </r>
  <r>
    <s v="FAC-5076"/>
    <s v="23/01/2024"/>
    <x v="0"/>
    <s v="B. Halal Pro"/>
    <x v="7"/>
    <n v="10"/>
    <s v="kg"/>
    <n v="7.26"/>
    <n v="72.599999999999994"/>
  </r>
  <r>
    <s v="FAC-5077"/>
    <s v="23/01/2024"/>
    <x v="0"/>
    <s v="Boul. Express"/>
    <x v="8"/>
    <n v="8"/>
    <s v="paquet x12"/>
    <n v="5.71"/>
    <n v="45.68"/>
  </r>
  <r>
    <s v="FAC-5078"/>
    <s v="23/01/2024"/>
    <x v="0"/>
    <s v="Boul. Express"/>
    <x v="9"/>
    <n v="8"/>
    <s v="paquet x10"/>
    <n v="3.96"/>
    <n v="31.68"/>
  </r>
  <r>
    <s v="FAC-5079"/>
    <s v="24/01/2024"/>
    <x v="0"/>
    <s v="LEGUMEX"/>
    <x v="3"/>
    <n v="4"/>
    <s v="boite 3kg"/>
    <n v="4.16"/>
    <n v="16.64"/>
  </r>
  <r>
    <s v="FAC-5080"/>
    <s v="24/01/2024"/>
    <x v="0"/>
    <s v="LEGUMEX"/>
    <x v="4"/>
    <n v="4"/>
    <s v="bidon 5L"/>
    <n v="22.85"/>
    <n v="91.4"/>
  </r>
  <r>
    <s v="FAC-5081"/>
    <s v="24/01/2024"/>
    <x v="0"/>
    <s v="LEGUMEX"/>
    <x v="5"/>
    <n v="6"/>
    <s v="seau 5kg"/>
    <n v="10.55"/>
    <n v="63.300000000000004"/>
  </r>
  <r>
    <s v="FAC-5082"/>
    <s v="24/01/2024"/>
    <x v="0"/>
    <s v="Moulin du Nord"/>
    <x v="10"/>
    <n v="2"/>
    <s v="sac 25kg"/>
    <n v="19.2"/>
    <n v="38.4"/>
  </r>
  <r>
    <s v="FAC-5083"/>
    <s v="24/01/2024"/>
    <x v="0"/>
    <s v="Fromag. Centrale"/>
    <x v="11"/>
    <n v="8"/>
    <s v="kg"/>
    <n v="8.6199999999999992"/>
    <n v="68.959999999999994"/>
  </r>
  <r>
    <s v="FAC-5084"/>
    <s v="25/01/2024"/>
    <x v="0"/>
    <s v="Metro"/>
    <x v="0"/>
    <n v="4"/>
    <s v="pack 24"/>
    <n v="14.31"/>
    <n v="57.24"/>
  </r>
  <r>
    <s v="FAC-5085"/>
    <s v="25/01/2024"/>
    <x v="0"/>
    <s v="Metro"/>
    <x v="1"/>
    <n v="6"/>
    <s v="pack 24"/>
    <n v="13.84"/>
    <n v="83.039999999999992"/>
  </r>
  <r>
    <s v="FAC-5086"/>
    <s v="25/01/2024"/>
    <x v="0"/>
    <s v="Metro"/>
    <x v="2"/>
    <n v="4"/>
    <s v="kg"/>
    <n v="1.25"/>
    <n v="5"/>
  </r>
  <r>
    <s v="FAC-5087"/>
    <s v="26/01/2024"/>
    <x v="0"/>
    <s v="B. Halal Pro"/>
    <x v="6"/>
    <n v="6"/>
    <s v="kg"/>
    <n v="10.23"/>
    <n v="61.38"/>
  </r>
  <r>
    <s v="FAC-5088"/>
    <s v="26/01/2024"/>
    <x v="0"/>
    <s v="B. Halal Pro"/>
    <x v="7"/>
    <n v="8"/>
    <s v="kg"/>
    <n v="7.08"/>
    <n v="56.64"/>
  </r>
  <r>
    <s v="FAC-5089"/>
    <s v="26/01/2024"/>
    <x v="0"/>
    <s v="Boul. Express"/>
    <x v="8"/>
    <n v="12"/>
    <s v="paquet x12"/>
    <n v="5.81"/>
    <n v="69.72"/>
  </r>
  <r>
    <s v="FAC-5090"/>
    <s v="26/01/2024"/>
    <x v="0"/>
    <s v="Boul. Express"/>
    <x v="9"/>
    <n v="5"/>
    <s v="paquet x10"/>
    <n v="4.04"/>
    <n v="20.2"/>
  </r>
  <r>
    <s v="FAC-5091"/>
    <s v="27/01/2024"/>
    <x v="0"/>
    <s v="Fromag. Centrale"/>
    <x v="11"/>
    <n v="8"/>
    <s v="kg"/>
    <n v="8.6199999999999992"/>
    <n v="68.959999999999994"/>
  </r>
  <r>
    <s v="FAC-5092"/>
    <s v="29/01/2024"/>
    <x v="0"/>
    <s v="Metro"/>
    <x v="0"/>
    <n v="6"/>
    <s v="pack 24"/>
    <n v="14.42"/>
    <n v="86.52"/>
  </r>
  <r>
    <s v="FAC-5093"/>
    <s v="29/01/2024"/>
    <x v="0"/>
    <s v="Metro"/>
    <x v="1"/>
    <n v="3"/>
    <s v="pack 24"/>
    <n v="13.26"/>
    <n v="39.78"/>
  </r>
  <r>
    <s v="FAC-5094"/>
    <s v="29/01/2024"/>
    <x v="0"/>
    <s v="Metro"/>
    <x v="2"/>
    <m/>
    <s v="kg"/>
    <n v="1.24"/>
    <n v="0"/>
  </r>
  <r>
    <s v="FAC-5095"/>
    <s v="29/01/2024"/>
    <x v="0"/>
    <s v="LEGUMEX"/>
    <x v="3"/>
    <n v="4"/>
    <s v="boite 3kg"/>
    <n v="4.1900000000000004"/>
    <n v="16.760000000000002"/>
  </r>
  <r>
    <s v="FAC-5096"/>
    <s v="29/01/2024"/>
    <x v="0"/>
    <s v="LEGUMEX"/>
    <x v="4"/>
    <n v="4"/>
    <s v="bidon 5L"/>
    <n v="22.68"/>
    <n v="90.72"/>
  </r>
  <r>
    <s v="FAC-5097"/>
    <s v="29/01/2024"/>
    <x v="0"/>
    <s v="LEGUMEX"/>
    <x v="5"/>
    <n v="10"/>
    <s v="seau 5kg"/>
    <n v="9.9600000000000009"/>
    <n v="99.600000000000009"/>
  </r>
  <r>
    <s v="FAC-5098"/>
    <s v="30/01/2024"/>
    <x v="0"/>
    <s v="B. Halal Pro"/>
    <x v="6"/>
    <n v="6"/>
    <s v="kg"/>
    <n v="9.6199999999999992"/>
    <n v="57.72"/>
  </r>
  <r>
    <s v="FAC-5099"/>
    <s v="30/01/2024"/>
    <x v="0"/>
    <s v="B. Halal Pro"/>
    <x v="7"/>
    <n v="6"/>
    <s v="kg"/>
    <n v="7.4"/>
    <n v="44.400000000000006"/>
  </r>
  <r>
    <s v="FAC-5100"/>
    <s v="30/01/2024"/>
    <x v="0"/>
    <s v="Boul. Express"/>
    <x v="8"/>
    <n v="5"/>
    <s v="paquet x12"/>
    <n v="5.83"/>
    <n v="29.15"/>
  </r>
  <r>
    <s v="FAC-5101"/>
    <s v="30/01/2024"/>
    <x v="0"/>
    <s v="Boul. Express"/>
    <x v="9"/>
    <n v="10"/>
    <s v="paquet x10"/>
    <n v="3.92"/>
    <n v="39.200000000000003"/>
  </r>
  <r>
    <s v="FAC-5102"/>
    <s v="31/01/2024"/>
    <x v="0"/>
    <s v="LEGUMEX"/>
    <x v="3"/>
    <n v="10"/>
    <s v="boite 3kg"/>
    <n v="4.3600000000000003"/>
    <n v="43.6"/>
  </r>
  <r>
    <s v="FAC-5103"/>
    <s v="31/01/2024"/>
    <x v="0"/>
    <s v="LEGUMEX"/>
    <x v="4"/>
    <n v="8"/>
    <s v="bidon 5L"/>
    <n v="22.78"/>
    <n v="182.24"/>
  </r>
  <r>
    <s v="FAC-5104"/>
    <s v="31/01/2024"/>
    <x v="0"/>
    <s v="LEGUMEX"/>
    <x v="5"/>
    <n v="6"/>
    <s v="seau 5kg"/>
    <n v="9.43"/>
    <n v="56.58"/>
  </r>
  <r>
    <s v="FAC-5105"/>
    <s v="31/01/2024"/>
    <x v="0"/>
    <s v="Moulin du Nord"/>
    <x v="10"/>
    <n v="2"/>
    <s v="sac 25kg"/>
    <n v="19.100000000000001"/>
    <n v="38.200000000000003"/>
  </r>
  <r>
    <s v="FAC-5106"/>
    <s v="31/01/2024"/>
    <x v="0"/>
    <s v="Fromag. Centrale"/>
    <x v="11"/>
    <n v="4"/>
    <s v="kg"/>
    <n v="9.77"/>
    <n v="39.08"/>
  </r>
  <r>
    <s v="FAC-5107"/>
    <s v="01/02/2024"/>
    <x v="1"/>
    <s v="Metro"/>
    <x v="0"/>
    <n v="4"/>
    <s v="pack 24"/>
    <n v="14.9"/>
    <n v="59.6"/>
  </r>
  <r>
    <s v="FAC-5108"/>
    <s v="01/02/2024"/>
    <x v="1"/>
    <s v="Metro"/>
    <x v="1"/>
    <n v="4"/>
    <s v="pack 24"/>
    <n v="12.98"/>
    <n v="51.92"/>
  </r>
  <r>
    <s v="FAC-5109"/>
    <s v="01/02/2024"/>
    <x v="1"/>
    <s v="Metro"/>
    <x v="2"/>
    <n v="6"/>
    <s v="kg"/>
    <n v="1.19"/>
    <n v="7.14"/>
  </r>
  <r>
    <s v="FAC-5110"/>
    <s v="02/02/2024"/>
    <x v="1"/>
    <s v="B. Halal Pro"/>
    <x v="6"/>
    <n v="6"/>
    <s v="kg"/>
    <n v="8.4700000000000006"/>
    <n v="50.820000000000007"/>
  </r>
  <r>
    <s v="FAC-5111"/>
    <s v="02/02/2024"/>
    <x v="1"/>
    <s v="B. Halal Pro"/>
    <x v="7"/>
    <n v="10"/>
    <s v="kg"/>
    <n v="7.15"/>
    <n v="71.5"/>
  </r>
  <r>
    <s v="FAC-5112"/>
    <s v="02/02/2024"/>
    <x v="1"/>
    <s v="Boul. Express"/>
    <x v="8"/>
    <n v="12"/>
    <s v="paquet x12"/>
    <n v="6.01"/>
    <n v="72.12"/>
  </r>
  <r>
    <s v="FAC-5113"/>
    <s v="02/02/2024"/>
    <x v="1"/>
    <s v="Boul. Express"/>
    <x v="9"/>
    <n v="12"/>
    <s v="paquet x10"/>
    <n v="4.0199999999999996"/>
    <n v="48.239999999999995"/>
  </r>
  <r>
    <s v="FAC-5114"/>
    <s v="03/02/2024"/>
    <x v="1"/>
    <s v="Fromag. Centrale"/>
    <x v="11"/>
    <n v="6"/>
    <s v="kg"/>
    <n v="9.01"/>
    <n v="54.06"/>
  </r>
  <r>
    <s v="FAC-5115"/>
    <s v="05/02/2024"/>
    <x v="1"/>
    <s v="Metro"/>
    <x v="0"/>
    <n v="6"/>
    <s v="pack 24"/>
    <n v="14.78"/>
    <n v="88.679999999999993"/>
  </r>
  <r>
    <s v="FAC-5116"/>
    <s v="05/02/2024"/>
    <x v="1"/>
    <s v="Metro"/>
    <x v="1"/>
    <n v="5"/>
    <s v="pack 24"/>
    <n v="13.08"/>
    <n v="65.400000000000006"/>
  </r>
  <r>
    <s v="FAC-5117"/>
    <s v="05/02/2024"/>
    <x v="1"/>
    <s v="Metro"/>
    <x v="2"/>
    <n v="3"/>
    <s v="kg"/>
    <n v="1.18"/>
    <n v="3.54"/>
  </r>
  <r>
    <s v="FAC-5118"/>
    <s v="05/02/2024"/>
    <x v="1"/>
    <s v="LEGUMEX"/>
    <x v="3"/>
    <n v="4"/>
    <s v="boite 3kg"/>
    <n v="4.38"/>
    <n v="17.52"/>
  </r>
  <r>
    <s v="FAC-5119"/>
    <s v="05/02/2024"/>
    <x v="1"/>
    <s v="LEGUMEX"/>
    <x v="4"/>
    <n v="10"/>
    <s v="bidon 5L"/>
    <n v="22.45"/>
    <n v="224.5"/>
  </r>
  <r>
    <s v="FAC-5120"/>
    <s v="05/02/2024"/>
    <x v="1"/>
    <s v="LEGUMEX"/>
    <x v="5"/>
    <n v="4"/>
    <s v="seau 5kg"/>
    <n v="9.81"/>
    <n v="39.24"/>
  </r>
  <r>
    <s v="FAC-5121"/>
    <s v="06/02/2024"/>
    <x v="1"/>
    <s v="B. Halal Pro"/>
    <x v="6"/>
    <n v="8"/>
    <s v="kg"/>
    <n v="9.4499999999999993"/>
    <n v="75.599999999999994"/>
  </r>
  <r>
    <s v="FAC-5122"/>
    <s v="06/02/2024"/>
    <x v="1"/>
    <s v="B. Halal Pro"/>
    <x v="7"/>
    <n v="10"/>
    <s v="kg"/>
    <n v="7.61"/>
    <n v="76.100000000000009"/>
  </r>
  <r>
    <s v="FAC-5123"/>
    <s v="06/02/2024"/>
    <x v="1"/>
    <s v="Boul. Express"/>
    <x v="8"/>
    <n v="10"/>
    <s v="paquet x12"/>
    <n v="5.85"/>
    <n v="58.5"/>
  </r>
  <r>
    <s v="FAC-5124"/>
    <s v="06/02/2024"/>
    <x v="1"/>
    <s v="Boul. Express"/>
    <x v="9"/>
    <n v="12"/>
    <s v="paquet x10"/>
    <n v="3.91"/>
    <n v="46.92"/>
  </r>
  <r>
    <s v="FAC-5125"/>
    <s v="07/02/2024"/>
    <x v="1"/>
    <s v="LEGUMEX"/>
    <x v="3"/>
    <n v="4"/>
    <s v="boite 3kg"/>
    <n v="4.49"/>
    <n v="17.96"/>
  </r>
  <r>
    <s v="FAC-5126"/>
    <s v="07/02/2024"/>
    <x v="1"/>
    <s v="LEGUMEX"/>
    <x v="4"/>
    <n v="10"/>
    <s v="bidon 5L"/>
    <n v="21.14"/>
    <n v="211.4"/>
  </r>
  <r>
    <s v="FAC-5127"/>
    <s v="07/02/2024"/>
    <x v="1"/>
    <s v="LEGUMEX"/>
    <x v="5"/>
    <n v="8"/>
    <s v="seau 5kg"/>
    <n v="9.5399999999999991"/>
    <n v="76.319999999999993"/>
  </r>
  <r>
    <s v="FAC-5128"/>
    <s v="07/02/2024"/>
    <x v="1"/>
    <s v="Moulin du Nord"/>
    <x v="10"/>
    <n v="3"/>
    <s v="sac 25kg"/>
    <n v="18.52"/>
    <n v="55.56"/>
  </r>
  <r>
    <s v="FAC-5129"/>
    <s v="07/02/2024"/>
    <x v="1"/>
    <s v="Fromag. Centrale"/>
    <x v="11"/>
    <n v="10"/>
    <s v="kg"/>
    <n v="8.76"/>
    <n v="87.6"/>
  </r>
  <r>
    <s v="FAC-5130"/>
    <s v="08/02/2024"/>
    <x v="1"/>
    <s v="Metro"/>
    <x v="0"/>
    <n v="6"/>
    <s v="pack 24"/>
    <n v="13.99"/>
    <n v="83.94"/>
  </r>
  <r>
    <s v="FAC-5131"/>
    <s v="08/02/2024"/>
    <x v="1"/>
    <s v="Metro"/>
    <x v="1"/>
    <n v="4"/>
    <s v="pack 24"/>
    <n v="13.58"/>
    <n v="54.32"/>
  </r>
  <r>
    <s v="FAC-5132"/>
    <s v="08/02/2024"/>
    <x v="1"/>
    <s v="Metro"/>
    <x v="2"/>
    <n v="3"/>
    <s v="kg"/>
    <n v="1.27"/>
    <n v="3.81"/>
  </r>
  <r>
    <s v="FAC-5133"/>
    <s v="09/02/2024"/>
    <x v="1"/>
    <s v="B. Halal Pro"/>
    <x v="6"/>
    <n v="6"/>
    <s v="kg"/>
    <n v="9.7799999999999994"/>
    <n v="58.679999999999993"/>
  </r>
  <r>
    <s v="FAC-5134"/>
    <s v="09/02/2024"/>
    <x v="1"/>
    <s v="B. Halal Pro"/>
    <x v="7"/>
    <n v="6"/>
    <s v="kg"/>
    <n v="7.27"/>
    <n v="43.62"/>
  </r>
  <r>
    <s v="FAC-5135"/>
    <s v="09/02/2024"/>
    <x v="1"/>
    <s v="Boul. Express"/>
    <x v="8"/>
    <n v="8"/>
    <s v="paquet x12"/>
    <n v="5.95"/>
    <n v="47.6"/>
  </r>
  <r>
    <s v="FAC-5136"/>
    <s v="09/02/2024"/>
    <x v="1"/>
    <s v="Boul. Express"/>
    <x v="9"/>
    <n v="8"/>
    <s v="paquet x10"/>
    <n v="4"/>
    <n v="32"/>
  </r>
  <r>
    <s v="FAC-5137"/>
    <s v="10/02/2024"/>
    <x v="1"/>
    <s v="Fromag. Centrale"/>
    <x v="11"/>
    <n v="8"/>
    <s v="kg"/>
    <n v="9.19"/>
    <n v="73.52"/>
  </r>
  <r>
    <s v="FAC-5138"/>
    <s v="12/02/2024"/>
    <x v="1"/>
    <s v="Metro"/>
    <x v="0"/>
    <n v="6"/>
    <s v="pack 24"/>
    <n v="15.19"/>
    <n v="91.14"/>
  </r>
  <r>
    <s v="FAC-5139"/>
    <s v="12/02/2024"/>
    <x v="1"/>
    <s v="Metro"/>
    <x v="1"/>
    <n v="4"/>
    <s v="pack 24"/>
    <n v="12.93"/>
    <n v="51.72"/>
  </r>
  <r>
    <s v="FAC-5140"/>
    <s v="12/02/2024"/>
    <x v="1"/>
    <s v="Metro"/>
    <x v="2"/>
    <n v="3"/>
    <s v="kg"/>
    <n v="1.25"/>
    <n v="3.75"/>
  </r>
  <r>
    <s v="FAC-5141"/>
    <s v="12/02/2024"/>
    <x v="1"/>
    <s v="LEGUMEX"/>
    <x v="3"/>
    <n v="10"/>
    <s v="boite 3kg"/>
    <n v="4.18"/>
    <n v="41.8"/>
  </r>
  <r>
    <s v="FAC-5142"/>
    <s v="12/02/2024"/>
    <x v="1"/>
    <s v="LEGUMEX"/>
    <x v="4"/>
    <m/>
    <s v="bidon 5L"/>
    <n v="22.35"/>
    <n v="0"/>
  </r>
  <r>
    <s v="FAC-5143"/>
    <s v="12/02/2024"/>
    <x v="1"/>
    <s v="LEGUMEX"/>
    <x v="5"/>
    <n v="4"/>
    <s v="seau 5kg"/>
    <n v="10.36"/>
    <n v="41.44"/>
  </r>
  <r>
    <s v="FAC-5144"/>
    <s v="13/02/2024"/>
    <x v="1"/>
    <s v="B. Halal Pro"/>
    <x v="6"/>
    <n v="10"/>
    <s v="kg"/>
    <n v="9.81"/>
    <n v="98.100000000000009"/>
  </r>
  <r>
    <s v="FAC-5145"/>
    <s v="13/02/2024"/>
    <x v="1"/>
    <s v="B. Halal Pro"/>
    <x v="7"/>
    <n v="12"/>
    <s v="kg"/>
    <n v="6.83"/>
    <n v="81.960000000000008"/>
  </r>
  <r>
    <s v="FAC-5146"/>
    <s v="13/02/2024"/>
    <x v="1"/>
    <s v="Boul. Express"/>
    <x v="8"/>
    <n v="12"/>
    <s v="paquet x12"/>
    <n v="5.9"/>
    <n v="70.800000000000011"/>
  </r>
  <r>
    <s v="FAC-5147"/>
    <s v="13/02/2024"/>
    <x v="1"/>
    <s v="Boul. Express"/>
    <x v="9"/>
    <n v="8"/>
    <s v="paquet x10"/>
    <n v="3.9"/>
    <n v="31.2"/>
  </r>
  <r>
    <s v="FAC-5148"/>
    <s v="14/02/2024"/>
    <x v="1"/>
    <s v="LEGUMEX"/>
    <x v="3"/>
    <n v="10"/>
    <s v="boite 3kg"/>
    <n v="4.1399999999999997"/>
    <n v="41.4"/>
  </r>
  <r>
    <s v="FAC-5149"/>
    <s v="14/02/2024"/>
    <x v="1"/>
    <s v="LEGUMEX"/>
    <x v="4"/>
    <n v="10"/>
    <s v="bidon 5L"/>
    <n v="22.53"/>
    <n v="225.3"/>
  </r>
  <r>
    <s v="FAC-5150"/>
    <s v="14/02/2024"/>
    <x v="1"/>
    <s v="LEGUMEX"/>
    <x v="5"/>
    <n v="6"/>
    <s v="seau 5kg"/>
    <n v="10.39"/>
    <n v="62.34"/>
  </r>
  <r>
    <s v="FAC-5151"/>
    <s v="14/02/2024"/>
    <x v="1"/>
    <s v="Moulin du Nord"/>
    <x v="10"/>
    <n v="3"/>
    <s v="sac 25kg"/>
    <n v="19.09"/>
    <n v="57.269999999999996"/>
  </r>
  <r>
    <s v="FAC-5152"/>
    <s v="14/02/2024"/>
    <x v="1"/>
    <s v="Fromag. Centrale"/>
    <x v="11"/>
    <n v="6"/>
    <s v="kg"/>
    <n v="9.16"/>
    <n v="54.96"/>
  </r>
  <r>
    <s v="FAC-5153"/>
    <s v="15/02/2024"/>
    <x v="1"/>
    <s v="Metro"/>
    <x v="0"/>
    <n v="6"/>
    <s v="pack 24"/>
    <n v="14.69"/>
    <n v="88.14"/>
  </r>
  <r>
    <s v="FAC-5154"/>
    <s v="15/02/2024"/>
    <x v="1"/>
    <s v="Metro"/>
    <x v="1"/>
    <m/>
    <s v="pack 24"/>
    <n v="13.34"/>
    <n v="0"/>
  </r>
  <r>
    <s v="FAC-5155"/>
    <s v="15/02/2024"/>
    <x v="1"/>
    <s v="Metro"/>
    <x v="2"/>
    <n v="4"/>
    <s v="kg"/>
    <n v="1.21"/>
    <n v="4.84"/>
  </r>
  <r>
    <s v="FAC-5156"/>
    <s v="16/02/2024"/>
    <x v="1"/>
    <s v="B. Halal Pro"/>
    <x v="6"/>
    <n v="12"/>
    <s v="kg"/>
    <n v="9.44"/>
    <n v="113.28"/>
  </r>
  <r>
    <s v="FAC-5157"/>
    <s v="16/02/2024"/>
    <x v="1"/>
    <s v="B. Halal Pro"/>
    <x v="7"/>
    <n v="10"/>
    <s v="kg"/>
    <n v="7.03"/>
    <n v="70.3"/>
  </r>
  <r>
    <s v="FAC-5158"/>
    <s v="16/02/2024"/>
    <x v="1"/>
    <s v="Boul. Express"/>
    <x v="8"/>
    <n v="8"/>
    <s v="paquet x12"/>
    <n v="5.76"/>
    <n v="46.08"/>
  </r>
  <r>
    <s v="FAC-5159"/>
    <s v="16/02/2024"/>
    <x v="1"/>
    <s v="Boul. Express"/>
    <x v="9"/>
    <n v="12"/>
    <s v="paquet x10"/>
    <n v="3.87"/>
    <n v="46.44"/>
  </r>
  <r>
    <s v="FAC-5160"/>
    <s v="17/02/2024"/>
    <x v="1"/>
    <s v="Fromag. Centrale"/>
    <x v="11"/>
    <n v="6"/>
    <s v="kg"/>
    <n v="9.76"/>
    <n v="58.56"/>
  </r>
  <r>
    <s v="FAC-5161"/>
    <s v="19/02/2024"/>
    <x v="1"/>
    <s v="Metro"/>
    <x v="0"/>
    <n v="4"/>
    <s v="pack 24"/>
    <n v="14.36"/>
    <n v="57.44"/>
  </r>
  <r>
    <s v="FAC-5162"/>
    <s v="19/02/2024"/>
    <x v="1"/>
    <s v="Metro"/>
    <x v="1"/>
    <n v="5"/>
    <s v="pack 24"/>
    <n v="12.86"/>
    <n v="64.3"/>
  </r>
  <r>
    <s v="FAC-5163"/>
    <s v="19/02/2024"/>
    <x v="1"/>
    <s v="Metro"/>
    <x v="2"/>
    <n v="4"/>
    <s v="kg"/>
    <n v="1.23"/>
    <n v="4.92"/>
  </r>
  <r>
    <s v="FAC-5164"/>
    <s v="19/02/2024"/>
    <x v="1"/>
    <s v="LEGUMEX"/>
    <x v="3"/>
    <n v="8"/>
    <s v="boite 3kg"/>
    <n v="4.47"/>
    <n v="35.76"/>
  </r>
  <r>
    <s v="FAC-5165"/>
    <s v="19/02/2024"/>
    <x v="1"/>
    <s v="LEGUMEX"/>
    <x v="4"/>
    <n v="4"/>
    <s v="bidon 5L"/>
    <n v="21.87"/>
    <n v="87.48"/>
  </r>
  <r>
    <s v="FAC-5166"/>
    <s v="19/02/2024"/>
    <x v="1"/>
    <s v="LEGUMEX"/>
    <x v="5"/>
    <n v="4"/>
    <s v="seau 5kg"/>
    <n v="9.4600000000000009"/>
    <n v="37.840000000000003"/>
  </r>
  <r>
    <s v="FAC-5167"/>
    <s v="20/02/2024"/>
    <x v="1"/>
    <s v="B. Halal Pro"/>
    <x v="6"/>
    <n v="5"/>
    <s v="kg"/>
    <n v="9.68"/>
    <n v="48.4"/>
  </r>
  <r>
    <s v="FAC-5168"/>
    <s v="20/02/2024"/>
    <x v="1"/>
    <s v="B. Halal Pro"/>
    <x v="7"/>
    <n v="6"/>
    <s v="kg"/>
    <n v="6.72"/>
    <n v="40.32"/>
  </r>
  <r>
    <s v="FAC-5169"/>
    <s v="20/02/2024"/>
    <x v="1"/>
    <s v="Boul. Express"/>
    <x v="8"/>
    <n v="8"/>
    <s v="paquet x12"/>
    <n v="5.89"/>
    <n v="47.12"/>
  </r>
  <r>
    <s v="FAC-5170"/>
    <s v="20/02/2024"/>
    <x v="1"/>
    <s v="Boul. Express"/>
    <x v="9"/>
    <n v="12"/>
    <s v="paquet x10"/>
    <n v="3.93"/>
    <n v="47.160000000000004"/>
  </r>
  <r>
    <s v="FAC-5171"/>
    <s v="21/02/2024"/>
    <x v="1"/>
    <s v="LEGUMEX"/>
    <x v="3"/>
    <n v="4"/>
    <s v="boite 3kg"/>
    <n v="4.16"/>
    <n v="16.64"/>
  </r>
  <r>
    <s v="FAC-5172"/>
    <s v="21/02/2024"/>
    <x v="1"/>
    <s v="LEGUMEX"/>
    <x v="4"/>
    <n v="6"/>
    <s v="bidon 5L"/>
    <n v="23.61"/>
    <n v="141.66"/>
  </r>
  <r>
    <s v="FAC-5173"/>
    <s v="21/02/2024"/>
    <x v="1"/>
    <s v="LEGUMEX"/>
    <x v="5"/>
    <n v="6"/>
    <s v="seau 5kg"/>
    <n v="10.15"/>
    <n v="60.900000000000006"/>
  </r>
  <r>
    <s v="FAC-5174"/>
    <s v="21/02/2024"/>
    <x v="1"/>
    <s v="Moulin du Nord"/>
    <x v="10"/>
    <n v="3"/>
    <s v="sac 25kg"/>
    <n v="18.02"/>
    <n v="54.06"/>
  </r>
  <r>
    <s v="FAC-5175"/>
    <s v="21/02/2024"/>
    <x v="1"/>
    <s v="Fromag. Centrale"/>
    <x v="11"/>
    <n v="6"/>
    <s v="kg"/>
    <n v="8.7799999999999994"/>
    <n v="52.679999999999993"/>
  </r>
  <r>
    <s v="FAC-5176"/>
    <s v="22/02/2024"/>
    <x v="1"/>
    <s v="Metro"/>
    <x v="0"/>
    <n v="6"/>
    <s v="pack 24"/>
    <n v="14.06"/>
    <n v="84.36"/>
  </r>
  <r>
    <s v="FAC-5177"/>
    <s v="22/02/2024"/>
    <x v="1"/>
    <s v="Metro"/>
    <x v="1"/>
    <n v="4"/>
    <s v="pack 24"/>
    <n v="13.31"/>
    <n v="53.24"/>
  </r>
  <r>
    <s v="FAC-5178"/>
    <s v="22/02/2024"/>
    <x v="1"/>
    <s v="Metro"/>
    <x v="2"/>
    <n v="5"/>
    <s v="kg"/>
    <n v="1.25"/>
    <n v="6.25"/>
  </r>
  <r>
    <s v="FAC-5179"/>
    <s v="23/02/2024"/>
    <x v="1"/>
    <s v="B. Halal Pro"/>
    <x v="6"/>
    <n v="12"/>
    <s v="kg"/>
    <n v="10.17"/>
    <n v="122.03999999999999"/>
  </r>
  <r>
    <s v="FAC-5180"/>
    <s v="23/02/2024"/>
    <x v="1"/>
    <s v="B. Halal Pro"/>
    <x v="7"/>
    <n v="10"/>
    <s v="kg"/>
    <n v="7.13"/>
    <n v="71.3"/>
  </r>
  <r>
    <s v="FAC-5181"/>
    <s v="23/02/2024"/>
    <x v="1"/>
    <s v="Boul. Express"/>
    <x v="8"/>
    <n v="12"/>
    <s v="paquet x12"/>
    <n v="6.01"/>
    <n v="72.12"/>
  </r>
  <r>
    <s v="FAC-5182"/>
    <s v="23/02/2024"/>
    <x v="1"/>
    <s v="Boul. Express"/>
    <x v="9"/>
    <n v="10"/>
    <s v="paquet x10"/>
    <n v="4.03"/>
    <n v="40.300000000000004"/>
  </r>
  <r>
    <s v="FAC-5183"/>
    <s v="24/02/2024"/>
    <x v="1"/>
    <s v="Fromag. Centrale"/>
    <x v="11"/>
    <n v="4"/>
    <s v="kg"/>
    <n v="8.5"/>
    <n v="34"/>
  </r>
  <r>
    <s v="FAC-5184"/>
    <s v="26/02/2024"/>
    <x v="1"/>
    <s v="Metro"/>
    <x v="0"/>
    <n v="3"/>
    <s v="pack 24"/>
    <n v="14.96"/>
    <n v="44.88"/>
  </r>
  <r>
    <s v="FAC-5185"/>
    <s v="26/02/2024"/>
    <x v="1"/>
    <s v="Metro"/>
    <x v="1"/>
    <n v="6"/>
    <s v="pack 24"/>
    <n v="13.89"/>
    <n v="83.34"/>
  </r>
  <r>
    <s v="FAC-5186"/>
    <s v="26/02/2024"/>
    <x v="1"/>
    <s v="Metro"/>
    <x v="2"/>
    <n v="6"/>
    <s v="kg"/>
    <n v="1.23"/>
    <n v="7.38"/>
  </r>
  <r>
    <s v="FAC-5187"/>
    <s v="26/02/2024"/>
    <x v="1"/>
    <s v="LEGUMEX"/>
    <x v="3"/>
    <n v="10"/>
    <s v="boite 3kg"/>
    <n v="4.25"/>
    <n v="42.5"/>
  </r>
  <r>
    <s v="FAC-5188"/>
    <s v="26/02/2024"/>
    <x v="1"/>
    <s v="LEGUMEX"/>
    <x v="4"/>
    <n v="8"/>
    <s v="bidon 5L"/>
    <n v="23.35"/>
    <n v="186.8"/>
  </r>
  <r>
    <s v="FAC-5189"/>
    <s v="26/02/2024"/>
    <x v="1"/>
    <s v="LEGUMEX"/>
    <x v="5"/>
    <n v="10"/>
    <s v="seau 5kg"/>
    <n v="9.68"/>
    <n v="96.8"/>
  </r>
  <r>
    <s v="FAC-5190"/>
    <s v="27/02/2024"/>
    <x v="1"/>
    <s v="B. Halal Pro"/>
    <x v="6"/>
    <n v="8"/>
    <s v="kg"/>
    <n v="9.4"/>
    <n v="75.2"/>
  </r>
  <r>
    <s v="FAC-5191"/>
    <s v="27/02/2024"/>
    <x v="1"/>
    <s v="B. Halal Pro"/>
    <x v="7"/>
    <n v="10"/>
    <s v="kg"/>
    <n v="7.74"/>
    <n v="77.400000000000006"/>
  </r>
  <r>
    <s v="FAC-5192"/>
    <s v="27/02/2024"/>
    <x v="1"/>
    <s v="Boul. Express"/>
    <x v="8"/>
    <n v="12"/>
    <s v="paquet x12"/>
    <n v="5.91"/>
    <n v="70.92"/>
  </r>
  <r>
    <s v="FAC-5193"/>
    <s v="27/02/2024"/>
    <x v="1"/>
    <s v="Boul. Express"/>
    <x v="9"/>
    <n v="12"/>
    <s v="paquet x10"/>
    <n v="3.94"/>
    <n v="47.28"/>
  </r>
  <r>
    <s v="FAC-5194"/>
    <s v="28/02/2024"/>
    <x v="1"/>
    <s v="LEGUMEX"/>
    <x v="3"/>
    <n v="6"/>
    <s v="boite 3kg"/>
    <n v="4.0999999999999996"/>
    <n v="24.599999999999998"/>
  </r>
  <r>
    <s v="FAC-5195"/>
    <s v="28/02/2024"/>
    <x v="1"/>
    <s v="LEGUMEX"/>
    <x v="4"/>
    <n v="10"/>
    <s v="bidon 5L"/>
    <n v="23.42"/>
    <n v="234.20000000000002"/>
  </r>
  <r>
    <s v="FAC-5196"/>
    <s v="28/02/2024"/>
    <x v="1"/>
    <s v="LEGUMEX"/>
    <x v="5"/>
    <n v="8"/>
    <s v="seau 5kg"/>
    <n v="10.210000000000001"/>
    <n v="81.680000000000007"/>
  </r>
  <r>
    <s v="FAC-5197"/>
    <s v="28/02/2024"/>
    <x v="1"/>
    <s v="Moulin du Nord"/>
    <x v="10"/>
    <n v="2"/>
    <s v="sac 25kg"/>
    <n v="17.920000000000002"/>
    <n v="35.840000000000003"/>
  </r>
  <r>
    <s v="FAC-5198"/>
    <s v="28/02/2024"/>
    <x v="1"/>
    <s v="Fromag. Centrale"/>
    <x v="11"/>
    <n v="6"/>
    <s v="kg"/>
    <n v="9.2899999999999991"/>
    <n v="55.739999999999995"/>
  </r>
  <r>
    <s v="FAC-5199"/>
    <s v="29/02/2024"/>
    <x v="1"/>
    <s v="Metro"/>
    <x v="0"/>
    <n v="5"/>
    <s v="pack 24"/>
    <n v="14.51"/>
    <n v="72.55"/>
  </r>
  <r>
    <s v="FAC-5200"/>
    <s v="29/02/2024"/>
    <x v="1"/>
    <s v="Metro"/>
    <x v="1"/>
    <n v="4"/>
    <s v="pack 24"/>
    <n v="13.35"/>
    <n v="53.4"/>
  </r>
  <r>
    <s v="FAC-5201"/>
    <s v="29/02/2024"/>
    <x v="1"/>
    <s v="Metro"/>
    <x v="2"/>
    <n v="4"/>
    <s v="kg"/>
    <n v="1.26"/>
    <n v="5.04"/>
  </r>
  <r>
    <s v="FAC-5202"/>
    <s v="01/03/2024"/>
    <x v="2"/>
    <s v="B. Halal Pro"/>
    <x v="6"/>
    <n v="12"/>
    <s v="kg"/>
    <n v="9.1300000000000008"/>
    <n v="109.56"/>
  </r>
  <r>
    <s v="FAC-5203"/>
    <s v="01/03/2024"/>
    <x v="2"/>
    <s v="B. Halal Pro"/>
    <x v="7"/>
    <n v="8"/>
    <s v="kg"/>
    <n v="6.95"/>
    <n v="55.6"/>
  </r>
  <r>
    <s v="FAC-5204"/>
    <s v="01/03/2024"/>
    <x v="2"/>
    <s v="Boul. Express"/>
    <x v="8"/>
    <n v="12"/>
    <s v="paquet x12"/>
    <n v="5.99"/>
    <n v="71.88"/>
  </r>
  <r>
    <s v="FAC-5205"/>
    <s v="01/03/2024"/>
    <x v="2"/>
    <s v="Boul. Express"/>
    <x v="9"/>
    <n v="12"/>
    <s v="paquet x10"/>
    <n v="3.9"/>
    <n v="46.8"/>
  </r>
  <r>
    <s v="FAC-5206"/>
    <s v="02/03/2024"/>
    <x v="2"/>
    <s v="Fromag. Centrale"/>
    <x v="11"/>
    <n v="6"/>
    <s v="kg"/>
    <n v="9.6"/>
    <n v="57.599999999999994"/>
  </r>
  <r>
    <s v="FAC-5207"/>
    <s v="04/03/2024"/>
    <x v="2"/>
    <s v="Metro"/>
    <x v="0"/>
    <n v="6"/>
    <s v="pack 24"/>
    <n v="14.02"/>
    <n v="84.12"/>
  </r>
  <r>
    <s v="FAC-5208"/>
    <s v="04/03/2024"/>
    <x v="2"/>
    <s v="Metro"/>
    <x v="1"/>
    <n v="6"/>
    <s v="pack 24"/>
    <n v="13.98"/>
    <n v="83.88"/>
  </r>
  <r>
    <s v="FAC-5209"/>
    <s v="04/03/2024"/>
    <x v="2"/>
    <s v="Metro"/>
    <x v="2"/>
    <n v="6"/>
    <s v="kg"/>
    <n v="1.27"/>
    <n v="7.62"/>
  </r>
  <r>
    <s v="FAC-5210"/>
    <s v="04/03/2024"/>
    <x v="2"/>
    <s v="LEGUMEX"/>
    <x v="3"/>
    <n v="10"/>
    <s v="boite 3kg"/>
    <n v="4.46"/>
    <n v="44.6"/>
  </r>
  <r>
    <s v="FAC-5211"/>
    <s v="04/03/2024"/>
    <x v="2"/>
    <s v="LEGUMEX"/>
    <x v="4"/>
    <n v="6"/>
    <s v="bidon 5L"/>
    <n v="20.94"/>
    <n v="125.64000000000001"/>
  </r>
  <r>
    <s v="FAC-5212"/>
    <s v="04/03/2024"/>
    <x v="2"/>
    <s v="LEGUMEX"/>
    <x v="5"/>
    <n v="8"/>
    <s v="seau 5kg"/>
    <n v="9.41"/>
    <n v="75.28"/>
  </r>
  <r>
    <s v="FAC-5213"/>
    <s v="05/03/2024"/>
    <x v="2"/>
    <s v="B. Halal Pro"/>
    <x v="6"/>
    <n v="8"/>
    <s v="kg"/>
    <n v="9.84"/>
    <n v="78.72"/>
  </r>
  <r>
    <s v="FAC-5214"/>
    <s v="05/03/2024"/>
    <x v="2"/>
    <s v="B. Halal Pro"/>
    <x v="7"/>
    <n v="10"/>
    <s v="kg"/>
    <n v="7.72"/>
    <n v="77.2"/>
  </r>
  <r>
    <s v="FAC-5215"/>
    <s v="05/03/2024"/>
    <x v="2"/>
    <s v="Boul. Express"/>
    <x v="8"/>
    <n v="8"/>
    <s v="paquet x12"/>
    <n v="5.9"/>
    <n v="47.2"/>
  </r>
  <r>
    <s v="FAC-5216"/>
    <s v="05/03/2024"/>
    <x v="2"/>
    <s v="Boul. Express"/>
    <x v="9"/>
    <n v="5"/>
    <s v="paquet x10"/>
    <n v="4.0599999999999996"/>
    <n v="20.299999999999997"/>
  </r>
  <r>
    <s v="FAC-5217"/>
    <s v="06/03/2024"/>
    <x v="2"/>
    <s v="LEGUMEX"/>
    <x v="3"/>
    <n v="4"/>
    <s v="boite 3kg"/>
    <n v="4.41"/>
    <n v="17.64"/>
  </r>
  <r>
    <s v="FAC-5218"/>
    <s v="06/03/2024"/>
    <x v="2"/>
    <s v="LEGUMEX"/>
    <x v="4"/>
    <n v="4"/>
    <s v="bidon 5L"/>
    <n v="23.48"/>
    <n v="93.92"/>
  </r>
  <r>
    <s v="FAC-5219"/>
    <s v="06/03/2024"/>
    <x v="2"/>
    <s v="LEGUMEX"/>
    <x v="5"/>
    <n v="8"/>
    <s v="seau 5kg"/>
    <n v="9.68"/>
    <n v="77.44"/>
  </r>
  <r>
    <s v="FAC-5220"/>
    <s v="06/03/2024"/>
    <x v="2"/>
    <s v="Moulin du Nord"/>
    <x v="10"/>
    <n v="4"/>
    <s v="sac 25kg"/>
    <n v="18.64"/>
    <n v="74.56"/>
  </r>
  <r>
    <s v="FAC-5221"/>
    <s v="06/03/2024"/>
    <x v="2"/>
    <s v="Fromag. Centrale"/>
    <x v="11"/>
    <n v="4"/>
    <s v="kg"/>
    <n v="8.61"/>
    <n v="34.44"/>
  </r>
  <r>
    <s v="FAC-5222"/>
    <s v="07/03/2024"/>
    <x v="2"/>
    <s v="Metro"/>
    <x v="0"/>
    <n v="4"/>
    <s v="pack 24"/>
    <n v="14.61"/>
    <n v="58.44"/>
  </r>
  <r>
    <s v="FAC-5223"/>
    <s v="07/03/2024"/>
    <x v="2"/>
    <s v="Metro"/>
    <x v="1"/>
    <n v="6"/>
    <s v="pack 24"/>
    <n v="13.56"/>
    <n v="81.36"/>
  </r>
  <r>
    <s v="FAC-5224"/>
    <s v="07/03/2024"/>
    <x v="2"/>
    <s v="Metro"/>
    <x v="2"/>
    <n v="6"/>
    <s v="kg"/>
    <n v="1.26"/>
    <n v="7.5600000000000005"/>
  </r>
  <r>
    <s v="FAC-5225"/>
    <s v="08/03/2024"/>
    <x v="2"/>
    <s v="B. Halal Pro"/>
    <x v="6"/>
    <n v="8"/>
    <s v="kg"/>
    <n v="8.5299999999999994"/>
    <n v="68.239999999999995"/>
  </r>
  <r>
    <s v="FAC-5226"/>
    <s v="08/03/2024"/>
    <x v="2"/>
    <s v="B. Halal Pro"/>
    <x v="7"/>
    <n v="10"/>
    <s v="kg"/>
    <n v="7.36"/>
    <n v="73.600000000000009"/>
  </r>
  <r>
    <s v="FAC-5227"/>
    <s v="08/03/2024"/>
    <x v="2"/>
    <s v="Boul. Express"/>
    <x v="8"/>
    <n v="8"/>
    <s v="paquet x12"/>
    <n v="5.98"/>
    <n v="47.84"/>
  </r>
  <r>
    <s v="FAC-5228"/>
    <s v="08/03/2024"/>
    <x v="2"/>
    <s v="Boul. Express"/>
    <x v="9"/>
    <n v="12"/>
    <s v="paquet x10"/>
    <n v="3.85"/>
    <n v="46.2"/>
  </r>
  <r>
    <s v="FAC-5229"/>
    <s v="09/03/2024"/>
    <x v="2"/>
    <s v="Fromag. Centrale"/>
    <x v="11"/>
    <m/>
    <s v="kg"/>
    <n v="9.7799999999999994"/>
    <n v="0"/>
  </r>
  <r>
    <s v="FAC-5230"/>
    <s v="11/03/2024"/>
    <x v="2"/>
    <s v="Metro"/>
    <x v="0"/>
    <n v="5"/>
    <s v="pack 24"/>
    <n v="13.98"/>
    <n v="69.900000000000006"/>
  </r>
  <r>
    <s v="FAC-5231"/>
    <s v="11/03/2024"/>
    <x v="2"/>
    <s v="Metro"/>
    <x v="1"/>
    <n v="6"/>
    <s v="pack 24"/>
    <n v="13.79"/>
    <n v="82.74"/>
  </r>
  <r>
    <s v="FAC-5232"/>
    <s v="11/03/2024"/>
    <x v="2"/>
    <s v="Metro"/>
    <x v="2"/>
    <n v="5"/>
    <s v="kg"/>
    <n v="1.19"/>
    <n v="5.9499999999999993"/>
  </r>
  <r>
    <s v="FAC-5233"/>
    <s v="11/03/2024"/>
    <x v="2"/>
    <s v="LEGUMEX"/>
    <x v="3"/>
    <n v="6"/>
    <s v="boite 3kg"/>
    <n v="4.3600000000000003"/>
    <n v="26.160000000000004"/>
  </r>
  <r>
    <s v="FAC-5234"/>
    <s v="11/03/2024"/>
    <x v="2"/>
    <s v="LEGUMEX"/>
    <x v="4"/>
    <n v="10"/>
    <s v="bidon 5L"/>
    <n v="21.78"/>
    <n v="217.8"/>
  </r>
  <r>
    <s v="FAC-5235"/>
    <s v="11/03/2024"/>
    <x v="2"/>
    <s v="LEGUMEX"/>
    <x v="5"/>
    <n v="4"/>
    <s v="seau 5kg"/>
    <n v="10.24"/>
    <n v="40.96"/>
  </r>
  <r>
    <s v="FAC-5236"/>
    <s v="12/03/2024"/>
    <x v="2"/>
    <s v="B. Halal Pro"/>
    <x v="6"/>
    <n v="6"/>
    <s v="kg"/>
    <n v="10.06"/>
    <n v="60.36"/>
  </r>
  <r>
    <s v="FAC-5237"/>
    <s v="12/03/2024"/>
    <x v="2"/>
    <s v="B. Halal Pro"/>
    <x v="7"/>
    <n v="8"/>
    <s v="kg"/>
    <n v="7.24"/>
    <n v="57.92"/>
  </r>
  <r>
    <s v="FAC-5238"/>
    <s v="12/03/2024"/>
    <x v="2"/>
    <s v="Boul. Express"/>
    <x v="8"/>
    <n v="12"/>
    <s v="paquet x12"/>
    <n v="6"/>
    <n v="72"/>
  </r>
  <r>
    <s v="FAC-5239"/>
    <s v="12/03/2024"/>
    <x v="2"/>
    <s v="Boul. Express"/>
    <x v="9"/>
    <n v="10"/>
    <s v="paquet x10"/>
    <n v="4"/>
    <n v="40"/>
  </r>
  <r>
    <s v="FAC-5240"/>
    <s v="13/03/2024"/>
    <x v="2"/>
    <s v="LEGUMEX"/>
    <x v="3"/>
    <n v="6"/>
    <s v="boite 3kg"/>
    <n v="4.5199999999999996"/>
    <n v="27.119999999999997"/>
  </r>
  <r>
    <s v="FAC-5241"/>
    <s v="13/03/2024"/>
    <x v="2"/>
    <s v="LEGUMEX"/>
    <x v="4"/>
    <n v="10"/>
    <s v="bidon 5L"/>
    <n v="23.36"/>
    <n v="233.6"/>
  </r>
  <r>
    <s v="FAC-5242"/>
    <s v="13/03/2024"/>
    <x v="2"/>
    <s v="LEGUMEX"/>
    <x v="5"/>
    <m/>
    <s v="seau 5kg"/>
    <n v="9.43"/>
    <n v="0"/>
  </r>
  <r>
    <s v="FAC-5243"/>
    <s v="13/03/2024"/>
    <x v="2"/>
    <s v="Moulin du Nord"/>
    <x v="10"/>
    <n v="4"/>
    <s v="sac 25kg"/>
    <n v="18.52"/>
    <n v="74.08"/>
  </r>
  <r>
    <s v="FAC-5244"/>
    <s v="13/03/2024"/>
    <x v="2"/>
    <s v="Fromag. Centrale"/>
    <x v="11"/>
    <n v="8"/>
    <s v="kg"/>
    <n v="9.1999999999999993"/>
    <n v="73.599999999999994"/>
  </r>
  <r>
    <s v="FAC-5245"/>
    <s v="14/03/2024"/>
    <x v="2"/>
    <s v="Metro"/>
    <x v="0"/>
    <n v="6"/>
    <s v="pack 24"/>
    <n v="14"/>
    <n v="84"/>
  </r>
  <r>
    <s v="FAC-5246"/>
    <s v="14/03/2024"/>
    <x v="2"/>
    <s v="Metro"/>
    <x v="1"/>
    <n v="5"/>
    <s v="pack 24"/>
    <n v="13.89"/>
    <n v="69.45"/>
  </r>
  <r>
    <s v="FAC-5247"/>
    <s v="14/03/2024"/>
    <x v="2"/>
    <s v="Metro"/>
    <x v="2"/>
    <n v="6"/>
    <s v="kg"/>
    <n v="1.26"/>
    <n v="7.5600000000000005"/>
  </r>
  <r>
    <s v="FAC-5248"/>
    <s v="15/03/2024"/>
    <x v="2"/>
    <s v="B. Halal Pro"/>
    <x v="6"/>
    <n v="5"/>
    <s v="kg"/>
    <n v="8.6300000000000008"/>
    <n v="43.150000000000006"/>
  </r>
  <r>
    <s v="FAC-5249"/>
    <s v="15/03/2024"/>
    <x v="2"/>
    <s v="B. Halal Pro"/>
    <x v="7"/>
    <n v="5"/>
    <s v="kg"/>
    <n v="7.77"/>
    <n v="38.849999999999994"/>
  </r>
  <r>
    <s v="FAC-5250"/>
    <s v="15/03/2024"/>
    <x v="2"/>
    <s v="Boul. Express"/>
    <x v="8"/>
    <n v="10"/>
    <s v="paquet x12"/>
    <n v="5.82"/>
    <n v="58.2"/>
  </r>
  <r>
    <s v="FAC-5251"/>
    <s v="15/03/2024"/>
    <x v="2"/>
    <s v="Boul. Express"/>
    <x v="9"/>
    <n v="8"/>
    <s v="paquet x10"/>
    <n v="3.96"/>
    <n v="31.68"/>
  </r>
  <r>
    <s v="FAC-5252"/>
    <s v="16/03/2024"/>
    <x v="2"/>
    <s v="Fromag. Centrale"/>
    <x v="11"/>
    <n v="10"/>
    <s v="kg"/>
    <n v="9.5500000000000007"/>
    <n v="95.5"/>
  </r>
  <r>
    <s v="FAC-5253"/>
    <s v="18/03/2024"/>
    <x v="2"/>
    <s v="Metro"/>
    <x v="0"/>
    <n v="3"/>
    <s v="pack 24"/>
    <n v="14.86"/>
    <n v="44.58"/>
  </r>
  <r>
    <s v="FAC-5254"/>
    <s v="18/03/2024"/>
    <x v="2"/>
    <s v="Metro"/>
    <x v="1"/>
    <n v="4"/>
    <s v="pack 24"/>
    <n v="13.82"/>
    <n v="55.28"/>
  </r>
  <r>
    <s v="FAC-5255"/>
    <s v="18/03/2024"/>
    <x v="2"/>
    <s v="Metro"/>
    <x v="2"/>
    <n v="5"/>
    <s v="kg"/>
    <n v="1.17"/>
    <n v="5.85"/>
  </r>
  <r>
    <s v="FAC-5256"/>
    <s v="18/03/2024"/>
    <x v="2"/>
    <s v="LEGUMEX"/>
    <x v="3"/>
    <n v="10"/>
    <s v="boite 3kg"/>
    <n v="4.51"/>
    <n v="45.099999999999994"/>
  </r>
  <r>
    <s v="FAC-5257"/>
    <s v="18/03/2024"/>
    <x v="2"/>
    <s v="LEGUMEX"/>
    <x v="4"/>
    <n v="4"/>
    <s v="bidon 5L"/>
    <n v="22.74"/>
    <n v="90.96"/>
  </r>
  <r>
    <s v="FAC-5258"/>
    <s v="18/03/2024"/>
    <x v="2"/>
    <s v="LEGUMEX"/>
    <x v="5"/>
    <n v="6"/>
    <s v="seau 5kg"/>
    <n v="9.6199999999999992"/>
    <n v="57.72"/>
  </r>
  <r>
    <s v="FAC-5259"/>
    <s v="19/03/2024"/>
    <x v="2"/>
    <s v="B. Halal Pro"/>
    <x v="6"/>
    <n v="12"/>
    <s v="kg"/>
    <n v="8.52"/>
    <n v="102.24"/>
  </r>
  <r>
    <s v="FAC-5260"/>
    <s v="19/03/2024"/>
    <x v="2"/>
    <s v="B. Halal Pro"/>
    <x v="7"/>
    <n v="6"/>
    <s v="kg"/>
    <n v="7.56"/>
    <n v="45.36"/>
  </r>
  <r>
    <s v="FAC-5261"/>
    <s v="19/03/2024"/>
    <x v="2"/>
    <s v="Boul. Express"/>
    <x v="8"/>
    <n v="5"/>
    <s v="paquet x12"/>
    <n v="5.96"/>
    <n v="29.8"/>
  </r>
  <r>
    <s v="FAC-5262"/>
    <s v="19/03/2024"/>
    <x v="2"/>
    <s v="Boul. Express"/>
    <x v="9"/>
    <n v="10"/>
    <s v="paquet x10"/>
    <n v="4.05"/>
    <n v="40.5"/>
  </r>
  <r>
    <s v="FAC-5263"/>
    <s v="20/03/2024"/>
    <x v="2"/>
    <s v="LEGUMEX"/>
    <x v="3"/>
    <n v="4"/>
    <s v="boite 3kg"/>
    <n v="4.3499999999999996"/>
    <n v="17.399999999999999"/>
  </r>
  <r>
    <s v="FAC-5264"/>
    <s v="20/03/2024"/>
    <x v="2"/>
    <s v="LEGUMEX"/>
    <x v="4"/>
    <n v="6"/>
    <s v="bidon 5L"/>
    <n v="23.16"/>
    <n v="138.96"/>
  </r>
  <r>
    <s v="FAC-5265"/>
    <s v="20/03/2024"/>
    <x v="2"/>
    <s v="LEGUMEX"/>
    <x v="5"/>
    <n v="4"/>
    <s v="seau 5kg"/>
    <n v="9.5299999999999994"/>
    <n v="38.119999999999997"/>
  </r>
  <r>
    <s v="FAC-5266"/>
    <s v="20/03/2024"/>
    <x v="2"/>
    <s v="Moulin du Nord"/>
    <x v="10"/>
    <n v="4"/>
    <s v="sac 25kg"/>
    <n v="18.64"/>
    <n v="74.56"/>
  </r>
  <r>
    <s v="FAC-5267"/>
    <s v="20/03/2024"/>
    <x v="2"/>
    <s v="Fromag. Centrale"/>
    <x v="11"/>
    <n v="4"/>
    <s v="kg"/>
    <n v="9.4700000000000006"/>
    <n v="37.880000000000003"/>
  </r>
  <r>
    <s v="FAC-5268"/>
    <s v="21/03/2024"/>
    <x v="2"/>
    <s v="Metro"/>
    <x v="0"/>
    <n v="3"/>
    <s v="pack 24"/>
    <n v="14.91"/>
    <n v="44.730000000000004"/>
  </r>
  <r>
    <s v="FAC-5269"/>
    <s v="21/03/2024"/>
    <x v="2"/>
    <s v="Metro"/>
    <x v="1"/>
    <n v="5"/>
    <s v="pack 24"/>
    <n v="13.35"/>
    <n v="66.75"/>
  </r>
  <r>
    <s v="FAC-5270"/>
    <s v="21/03/2024"/>
    <x v="2"/>
    <s v="Metro"/>
    <x v="2"/>
    <n v="6"/>
    <s v="kg"/>
    <n v="1.26"/>
    <n v="7.5600000000000005"/>
  </r>
  <r>
    <s v="FAC-5271"/>
    <s v="22/03/2024"/>
    <x v="2"/>
    <s v="B. Halal Pro"/>
    <x v="6"/>
    <n v="10"/>
    <s v="kg"/>
    <n v="9.48"/>
    <n v="94.800000000000011"/>
  </r>
  <r>
    <s v="FAC-5272"/>
    <s v="22/03/2024"/>
    <x v="2"/>
    <s v="B. Halal Pro"/>
    <x v="7"/>
    <n v="6"/>
    <s v="kg"/>
    <n v="7"/>
    <n v="42"/>
  </r>
  <r>
    <s v="FAC-5273"/>
    <s v="22/03/2024"/>
    <x v="2"/>
    <s v="Boul. Express"/>
    <x v="8"/>
    <n v="10"/>
    <s v="paquet x12"/>
    <n v="5.9"/>
    <n v="59"/>
  </r>
  <r>
    <s v="FAC-5274"/>
    <s v="22/03/2024"/>
    <x v="2"/>
    <s v="Boul. Express"/>
    <x v="9"/>
    <n v="12"/>
    <s v="paquet x10"/>
    <n v="3.93"/>
    <n v="47.160000000000004"/>
  </r>
  <r>
    <s v="FAC-5275"/>
    <s v="23/03/2024"/>
    <x v="2"/>
    <s v="Fromag. Centrale"/>
    <x v="11"/>
    <n v="6"/>
    <s v="kg"/>
    <n v="9.58"/>
    <n v="57.480000000000004"/>
  </r>
  <r>
    <s v="FAC-5276"/>
    <s v="25/03/2024"/>
    <x v="2"/>
    <s v="Metro"/>
    <x v="0"/>
    <n v="6"/>
    <s v="pack 24"/>
    <n v="14.41"/>
    <n v="86.460000000000008"/>
  </r>
  <r>
    <s v="FAC-5277"/>
    <s v="25/03/2024"/>
    <x v="2"/>
    <s v="Metro"/>
    <x v="1"/>
    <n v="3"/>
    <s v="pack 24"/>
    <n v="13.18"/>
    <n v="39.54"/>
  </r>
  <r>
    <s v="FAC-5278"/>
    <s v="25/03/2024"/>
    <x v="2"/>
    <s v="Metro"/>
    <x v="2"/>
    <n v="5"/>
    <s v="kg"/>
    <n v="1.27"/>
    <n v="6.35"/>
  </r>
  <r>
    <s v="FAC-5279"/>
    <s v="25/03/2024"/>
    <x v="2"/>
    <s v="LEGUMEX"/>
    <x v="3"/>
    <n v="4"/>
    <s v="boite 3kg"/>
    <n v="4.03"/>
    <n v="16.12"/>
  </r>
  <r>
    <s v="FAC-5280"/>
    <s v="25/03/2024"/>
    <x v="2"/>
    <s v="LEGUMEX"/>
    <x v="4"/>
    <n v="8"/>
    <s v="bidon 5L"/>
    <n v="23.03"/>
    <n v="184.24"/>
  </r>
  <r>
    <s v="FAC-5281"/>
    <s v="25/03/2024"/>
    <x v="2"/>
    <s v="LEGUMEX"/>
    <x v="5"/>
    <n v="8"/>
    <s v="seau 5kg"/>
    <n v="10.06"/>
    <n v="80.48"/>
  </r>
  <r>
    <s v="FAC-5282"/>
    <s v="26/03/2024"/>
    <x v="2"/>
    <s v="B. Halal Pro"/>
    <x v="6"/>
    <n v="10"/>
    <s v="kg"/>
    <n v="9.17"/>
    <n v="91.7"/>
  </r>
  <r>
    <s v="FAC-5283"/>
    <s v="26/03/2024"/>
    <x v="2"/>
    <s v="B. Halal Pro"/>
    <x v="7"/>
    <n v="12"/>
    <s v="kg"/>
    <n v="7.74"/>
    <n v="92.88"/>
  </r>
  <r>
    <s v="FAC-5284"/>
    <s v="26/03/2024"/>
    <x v="2"/>
    <s v="Boul. Express"/>
    <x v="8"/>
    <n v="8"/>
    <s v="paquet x12"/>
    <n v="5.89"/>
    <n v="47.12"/>
  </r>
  <r>
    <s v="FAC-5285"/>
    <s v="26/03/2024"/>
    <x v="2"/>
    <s v="Boul. Express"/>
    <x v="9"/>
    <n v="5"/>
    <s v="paquet x10"/>
    <n v="3.87"/>
    <n v="19.350000000000001"/>
  </r>
  <r>
    <s v="FAC-5286"/>
    <s v="27/03/2024"/>
    <x v="2"/>
    <s v="LEGUMEX"/>
    <x v="3"/>
    <n v="8"/>
    <s v="boite 3kg"/>
    <n v="4.05"/>
    <n v="32.4"/>
  </r>
  <r>
    <s v="FAC-5287"/>
    <s v="27/03/2024"/>
    <x v="2"/>
    <s v="LEGUMEX"/>
    <x v="4"/>
    <n v="4"/>
    <s v="bidon 5L"/>
    <n v="23.32"/>
    <n v="93.28"/>
  </r>
  <r>
    <s v="FAC-5288"/>
    <s v="27/03/2024"/>
    <x v="2"/>
    <s v="LEGUMEX"/>
    <x v="5"/>
    <n v="8"/>
    <s v="seau 5kg"/>
    <n v="9.35"/>
    <n v="74.8"/>
  </r>
  <r>
    <s v="FAC-5289"/>
    <s v="27/03/2024"/>
    <x v="2"/>
    <s v="Moulin du Nord"/>
    <x v="10"/>
    <m/>
    <s v="sac 25kg"/>
    <n v="19.29"/>
    <n v="0"/>
  </r>
  <r>
    <s v="FAC-5290"/>
    <s v="27/03/2024"/>
    <x v="2"/>
    <s v="Fromag. Centrale"/>
    <x v="11"/>
    <n v="10"/>
    <s v="kg"/>
    <n v="9.17"/>
    <n v="91.7"/>
  </r>
  <r>
    <s v="FAC-5291"/>
    <s v="28/03/2024"/>
    <x v="2"/>
    <s v="Metro"/>
    <x v="0"/>
    <n v="3"/>
    <s v="pack 24"/>
    <n v="14.93"/>
    <n v="44.79"/>
  </r>
  <r>
    <s v="FAC-5292"/>
    <s v="28/03/2024"/>
    <x v="2"/>
    <s v="Metro"/>
    <x v="1"/>
    <n v="6"/>
    <s v="pack 24"/>
    <n v="13.21"/>
    <n v="79.260000000000005"/>
  </r>
  <r>
    <s v="FAC-5293"/>
    <s v="28/03/2024"/>
    <x v="2"/>
    <s v="Metro"/>
    <x v="2"/>
    <n v="3"/>
    <s v="kg"/>
    <n v="1.26"/>
    <n v="3.7800000000000002"/>
  </r>
  <r>
    <s v="FAC-5294"/>
    <s v="29/03/2024"/>
    <x v="2"/>
    <s v="B. Halal Pro"/>
    <x v="6"/>
    <n v="8"/>
    <s v="kg"/>
    <n v="9.9"/>
    <n v="79.2"/>
  </r>
  <r>
    <s v="FAC-5295"/>
    <s v="29/03/2024"/>
    <x v="2"/>
    <s v="B. Halal Pro"/>
    <x v="7"/>
    <n v="10"/>
    <s v="kg"/>
    <n v="7.18"/>
    <n v="71.8"/>
  </r>
  <r>
    <s v="FAC-5296"/>
    <s v="29/03/2024"/>
    <x v="2"/>
    <s v="Boul. Express"/>
    <x v="8"/>
    <n v="5"/>
    <s v="paquet x12"/>
    <n v="5.95"/>
    <n v="29.75"/>
  </r>
  <r>
    <s v="FAC-5297"/>
    <s v="29/03/2024"/>
    <x v="2"/>
    <s v="Boul. Express"/>
    <x v="9"/>
    <n v="12"/>
    <s v="paquet x10"/>
    <n v="3.89"/>
    <n v="46.68"/>
  </r>
  <r>
    <s v="FAC-5298"/>
    <s v="30/03/2024"/>
    <x v="2"/>
    <s v="Fromag. Centrale"/>
    <x v="11"/>
    <n v="10"/>
    <s v="kg"/>
    <n v="8.43"/>
    <n v="84.3"/>
  </r>
  <r>
    <s v="FAC-5299"/>
    <s v="01/04/2024"/>
    <x v="3"/>
    <s v="Metro"/>
    <x v="0"/>
    <n v="3"/>
    <s v="pack 24"/>
    <n v="14.23"/>
    <n v="42.69"/>
  </r>
  <r>
    <s v="FAC-5300"/>
    <s v="01/04/2024"/>
    <x v="3"/>
    <s v="Metro"/>
    <x v="1"/>
    <n v="5"/>
    <s v="pack 24"/>
    <n v="13.15"/>
    <n v="65.75"/>
  </r>
  <r>
    <s v="FAC-5301"/>
    <s v="01/04/2024"/>
    <x v="3"/>
    <s v="Metro"/>
    <x v="2"/>
    <n v="6"/>
    <s v="kg"/>
    <n v="1.18"/>
    <n v="7.08"/>
  </r>
  <r>
    <s v="FAC-5302"/>
    <s v="01/04/2024"/>
    <x v="3"/>
    <s v="LEGUMEX"/>
    <x v="3"/>
    <n v="8"/>
    <s v="boite 3kg"/>
    <n v="4.26"/>
    <n v="34.08"/>
  </r>
  <r>
    <s v="FAC-5303"/>
    <s v="01/04/2024"/>
    <x v="3"/>
    <s v="LEGUMEX"/>
    <x v="4"/>
    <n v="10"/>
    <s v="bidon 5L"/>
    <n v="22.15"/>
    <n v="221.5"/>
  </r>
  <r>
    <s v="FAC-5304"/>
    <s v="01/04/2024"/>
    <x v="3"/>
    <s v="LEGUMEX"/>
    <x v="5"/>
    <n v="10"/>
    <s v="seau 5kg"/>
    <n v="10.039999999999999"/>
    <n v="100.39999999999999"/>
  </r>
  <r>
    <s v="FAC-5305"/>
    <s v="02/04/2024"/>
    <x v="3"/>
    <s v="B. Halal Pro"/>
    <x v="6"/>
    <m/>
    <s v="kg"/>
    <n v="9.02"/>
    <n v="0"/>
  </r>
  <r>
    <s v="FAC-5306"/>
    <s v="02/04/2024"/>
    <x v="3"/>
    <s v="B. Halal Pro"/>
    <x v="7"/>
    <n v="12"/>
    <s v="kg"/>
    <n v="6.82"/>
    <n v="81.84"/>
  </r>
  <r>
    <s v="FAC-5307"/>
    <s v="02/04/2024"/>
    <x v="3"/>
    <s v="Boul. Express"/>
    <x v="8"/>
    <n v="5"/>
    <s v="paquet x12"/>
    <n v="5.71"/>
    <n v="28.55"/>
  </r>
  <r>
    <s v="FAC-5308"/>
    <s v="02/04/2024"/>
    <x v="3"/>
    <s v="Boul. Express"/>
    <x v="9"/>
    <n v="12"/>
    <s v="paquet x10"/>
    <n v="3.94"/>
    <n v="47.28"/>
  </r>
  <r>
    <s v="FAC-5309"/>
    <s v="03/04/2024"/>
    <x v="3"/>
    <s v="LEGUMEX"/>
    <x v="3"/>
    <n v="6"/>
    <s v="boite 3kg"/>
    <n v="4.1100000000000003"/>
    <n v="24.660000000000004"/>
  </r>
  <r>
    <s v="FAC-5310"/>
    <s v="03/04/2024"/>
    <x v="3"/>
    <s v="LEGUMEX"/>
    <x v="4"/>
    <n v="6"/>
    <s v="bidon 5L"/>
    <n v="22.42"/>
    <n v="134.52000000000001"/>
  </r>
  <r>
    <s v="FAC-5311"/>
    <s v="03/04/2024"/>
    <x v="3"/>
    <s v="LEGUMEX"/>
    <x v="5"/>
    <n v="6"/>
    <s v="seau 5kg"/>
    <n v="9.76"/>
    <n v="58.56"/>
  </r>
  <r>
    <s v="FAC-5312"/>
    <s v="03/04/2024"/>
    <x v="3"/>
    <s v="Moulin du Nord"/>
    <x v="10"/>
    <n v="2"/>
    <s v="sac 25kg"/>
    <n v="18.190000000000001"/>
    <n v="36.380000000000003"/>
  </r>
  <r>
    <s v="FAC-5313"/>
    <s v="03/04/2024"/>
    <x v="3"/>
    <s v="Fromag. Centrale"/>
    <x v="11"/>
    <n v="10"/>
    <s v="kg"/>
    <n v="8.6199999999999992"/>
    <n v="86.199999999999989"/>
  </r>
  <r>
    <s v="FAC-5314"/>
    <s v="04/04/2024"/>
    <x v="3"/>
    <s v="Metro"/>
    <x v="0"/>
    <n v="6"/>
    <s v="pack 24"/>
    <n v="14.85"/>
    <n v="89.1"/>
  </r>
  <r>
    <s v="FAC-5315"/>
    <s v="04/04/2024"/>
    <x v="3"/>
    <s v="Metro"/>
    <x v="1"/>
    <n v="5"/>
    <s v="pack 24"/>
    <n v="13.83"/>
    <n v="69.150000000000006"/>
  </r>
  <r>
    <s v="FAC-5316"/>
    <s v="04/04/2024"/>
    <x v="3"/>
    <s v="Metro"/>
    <x v="2"/>
    <n v="6"/>
    <s v="kg"/>
    <n v="1.17"/>
    <n v="7.02"/>
  </r>
  <r>
    <s v="FAC-5317"/>
    <s v="05/04/2024"/>
    <x v="3"/>
    <s v="B. Halal Pro"/>
    <x v="6"/>
    <n v="12"/>
    <s v="kg"/>
    <n v="10.18"/>
    <n v="122.16"/>
  </r>
  <r>
    <s v="FAC-5318"/>
    <s v="05/04/2024"/>
    <x v="3"/>
    <s v="B. Halal Pro"/>
    <x v="7"/>
    <m/>
    <s v="kg"/>
    <n v="6.98"/>
    <n v="0"/>
  </r>
  <r>
    <s v="FAC-5319"/>
    <s v="05/04/2024"/>
    <x v="3"/>
    <s v="Boul. Express"/>
    <x v="8"/>
    <n v="5"/>
    <s v="paquet x12"/>
    <n v="5.97"/>
    <n v="29.849999999999998"/>
  </r>
  <r>
    <s v="FAC-5320"/>
    <s v="05/04/2024"/>
    <x v="3"/>
    <s v="Boul. Express"/>
    <x v="9"/>
    <n v="12"/>
    <s v="paquet x10"/>
    <n v="3.97"/>
    <n v="47.64"/>
  </r>
  <r>
    <s v="FAC-5321"/>
    <s v="06/04/2024"/>
    <x v="3"/>
    <s v="Fromag. Centrale"/>
    <x v="11"/>
    <n v="6"/>
    <s v="kg"/>
    <n v="9.01"/>
    <n v="54.06"/>
  </r>
  <r>
    <s v="FAC-5322"/>
    <s v="08/04/2024"/>
    <x v="3"/>
    <s v="Metro"/>
    <x v="0"/>
    <n v="4"/>
    <s v="pack 24"/>
    <n v="15.21"/>
    <n v="60.84"/>
  </r>
  <r>
    <s v="FAC-5323"/>
    <s v="08/04/2024"/>
    <x v="3"/>
    <s v="Metro"/>
    <x v="1"/>
    <n v="3"/>
    <s v="pack 24"/>
    <n v="13.4"/>
    <n v="40.200000000000003"/>
  </r>
  <r>
    <s v="FAC-5324"/>
    <s v="08/04/2024"/>
    <x v="3"/>
    <s v="Metro"/>
    <x v="2"/>
    <n v="6"/>
    <s v="kg"/>
    <n v="1.27"/>
    <n v="7.62"/>
  </r>
  <r>
    <s v="FAC-5325"/>
    <s v="08/04/2024"/>
    <x v="3"/>
    <s v="LEGUMEX"/>
    <x v="3"/>
    <n v="8"/>
    <s v="boite 3kg"/>
    <n v="4.1900000000000004"/>
    <n v="33.520000000000003"/>
  </r>
  <r>
    <s v="FAC-5326"/>
    <s v="08/04/2024"/>
    <x v="3"/>
    <s v="LEGUMEX"/>
    <x v="4"/>
    <n v="4"/>
    <s v="bidon 5L"/>
    <n v="22.84"/>
    <n v="91.36"/>
  </r>
  <r>
    <s v="FAC-5327"/>
    <s v="08/04/2024"/>
    <x v="3"/>
    <s v="LEGUMEX"/>
    <x v="5"/>
    <n v="4"/>
    <s v="seau 5kg"/>
    <n v="9.39"/>
    <n v="37.56"/>
  </r>
  <r>
    <s v="FAC-5328"/>
    <s v="09/04/2024"/>
    <x v="3"/>
    <s v="B. Halal Pro"/>
    <x v="6"/>
    <n v="12"/>
    <s v="kg"/>
    <n v="9.01"/>
    <n v="108.12"/>
  </r>
  <r>
    <s v="FAC-5329"/>
    <s v="09/04/2024"/>
    <x v="3"/>
    <s v="B. Halal Pro"/>
    <x v="7"/>
    <n v="6"/>
    <s v="kg"/>
    <n v="6.72"/>
    <n v="40.32"/>
  </r>
  <r>
    <s v="FAC-5330"/>
    <s v="09/04/2024"/>
    <x v="3"/>
    <s v="Boul. Express"/>
    <x v="8"/>
    <n v="12"/>
    <s v="paquet x12"/>
    <n v="6.02"/>
    <n v="72.239999999999995"/>
  </r>
  <r>
    <s v="FAC-5331"/>
    <s v="09/04/2024"/>
    <x v="3"/>
    <s v="Boul. Express"/>
    <x v="9"/>
    <n v="12"/>
    <s v="paquet x10"/>
    <n v="3.89"/>
    <n v="46.68"/>
  </r>
  <r>
    <s v="FAC-5332"/>
    <s v="10/04/2024"/>
    <x v="3"/>
    <s v="LEGUMEX"/>
    <x v="3"/>
    <n v="4"/>
    <s v="boite 3kg"/>
    <n v="4.43"/>
    <n v="17.72"/>
  </r>
  <r>
    <s v="FAC-5333"/>
    <s v="10/04/2024"/>
    <x v="3"/>
    <s v="LEGUMEX"/>
    <x v="4"/>
    <n v="4"/>
    <s v="bidon 5L"/>
    <n v="22.35"/>
    <n v="89.4"/>
  </r>
  <r>
    <s v="FAC-5334"/>
    <s v="10/04/2024"/>
    <x v="3"/>
    <s v="LEGUMEX"/>
    <x v="5"/>
    <n v="8"/>
    <s v="seau 5kg"/>
    <n v="10.52"/>
    <n v="84.16"/>
  </r>
  <r>
    <s v="FAC-5335"/>
    <s v="10/04/2024"/>
    <x v="3"/>
    <s v="Moulin du Nord"/>
    <x v="10"/>
    <n v="2"/>
    <s v="sac 25kg"/>
    <n v="18.079999999999998"/>
    <n v="36.159999999999997"/>
  </r>
  <r>
    <s v="FAC-5336"/>
    <s v="10/04/2024"/>
    <x v="3"/>
    <s v="Fromag. Centrale"/>
    <x v="11"/>
    <n v="4"/>
    <s v="kg"/>
    <n v="9.57"/>
    <n v="38.28"/>
  </r>
  <r>
    <s v="FAC-5337"/>
    <s v="11/04/2024"/>
    <x v="3"/>
    <s v="Metro"/>
    <x v="0"/>
    <n v="3"/>
    <s v="pack 24"/>
    <n v="14.83"/>
    <n v="44.49"/>
  </r>
  <r>
    <s v="FAC-5338"/>
    <s v="11/04/2024"/>
    <x v="3"/>
    <s v="Metro"/>
    <x v="1"/>
    <n v="4"/>
    <s v="pack 24"/>
    <n v="13.51"/>
    <n v="54.04"/>
  </r>
  <r>
    <s v="FAC-5339"/>
    <s v="11/04/2024"/>
    <x v="3"/>
    <s v="Metro"/>
    <x v="2"/>
    <n v="4"/>
    <s v="kg"/>
    <n v="1.24"/>
    <n v="4.96"/>
  </r>
  <r>
    <s v="FAC-5340"/>
    <s v="12/04/2024"/>
    <x v="3"/>
    <s v="B. Halal Pro"/>
    <x v="6"/>
    <n v="6"/>
    <s v="kg"/>
    <n v="9.9"/>
    <n v="59.400000000000006"/>
  </r>
  <r>
    <s v="FAC-5341"/>
    <s v="12/04/2024"/>
    <x v="3"/>
    <s v="B. Halal Pro"/>
    <x v="7"/>
    <n v="10"/>
    <s v="kg"/>
    <n v="7.49"/>
    <n v="74.900000000000006"/>
  </r>
  <r>
    <s v="FAC-5342"/>
    <s v="12/04/2024"/>
    <x v="3"/>
    <s v="Boul. Express"/>
    <x v="8"/>
    <n v="12"/>
    <s v="paquet x12"/>
    <n v="5.79"/>
    <n v="69.48"/>
  </r>
  <r>
    <s v="FAC-5343"/>
    <s v="12/04/2024"/>
    <x v="3"/>
    <s v="Boul. Express"/>
    <x v="9"/>
    <n v="12"/>
    <s v="paquet x10"/>
    <n v="3.91"/>
    <n v="46.92"/>
  </r>
  <r>
    <s v="FAC-5344"/>
    <s v="13/04/2024"/>
    <x v="3"/>
    <s v="Fromag. Centrale"/>
    <x v="11"/>
    <n v="10"/>
    <s v="kg"/>
    <n v="9.4700000000000006"/>
    <n v="94.7"/>
  </r>
  <r>
    <s v="FAC-5345"/>
    <s v="15/04/2024"/>
    <x v="3"/>
    <s v="Metro"/>
    <x v="0"/>
    <n v="4"/>
    <s v="pack 24"/>
    <n v="15.1"/>
    <n v="60.4"/>
  </r>
  <r>
    <s v="FAC-5346"/>
    <s v="15/04/2024"/>
    <x v="3"/>
    <s v="Metro"/>
    <x v="1"/>
    <n v="5"/>
    <s v="pack 24"/>
    <n v="13.46"/>
    <n v="67.300000000000011"/>
  </r>
  <r>
    <s v="FAC-5347"/>
    <s v="15/04/2024"/>
    <x v="3"/>
    <s v="Metro"/>
    <x v="2"/>
    <n v="3"/>
    <s v="kg"/>
    <n v="1.19"/>
    <n v="3.57"/>
  </r>
  <r>
    <s v="FAC-5348"/>
    <s v="15/04/2024"/>
    <x v="3"/>
    <s v="LEGUMEX"/>
    <x v="3"/>
    <n v="6"/>
    <s v="boite 3kg"/>
    <n v="4.24"/>
    <n v="25.44"/>
  </r>
  <r>
    <s v="FAC-5349"/>
    <s v="15/04/2024"/>
    <x v="3"/>
    <s v="LEGUMEX"/>
    <x v="4"/>
    <n v="6"/>
    <s v="bidon 5L"/>
    <n v="23.61"/>
    <n v="141.66"/>
  </r>
  <r>
    <s v="FAC-5350"/>
    <s v="15/04/2024"/>
    <x v="3"/>
    <s v="LEGUMEX"/>
    <x v="5"/>
    <n v="10"/>
    <s v="seau 5kg"/>
    <n v="10.5"/>
    <n v="105"/>
  </r>
  <r>
    <s v="FAC-5351"/>
    <s v="16/04/2024"/>
    <x v="3"/>
    <s v="B. Halal Pro"/>
    <x v="6"/>
    <n v="5"/>
    <s v="kg"/>
    <n v="8.9"/>
    <n v="44.5"/>
  </r>
  <r>
    <s v="FAC-5352"/>
    <s v="16/04/2024"/>
    <x v="3"/>
    <s v="B. Halal Pro"/>
    <x v="7"/>
    <n v="5"/>
    <s v="kg"/>
    <n v="6.99"/>
    <n v="34.950000000000003"/>
  </r>
  <r>
    <s v="FAC-5353"/>
    <s v="16/04/2024"/>
    <x v="3"/>
    <s v="Boul. Express"/>
    <x v="8"/>
    <n v="8"/>
    <s v="paquet x12"/>
    <n v="5.96"/>
    <n v="47.68"/>
  </r>
  <r>
    <s v="FAC-5354"/>
    <s v="16/04/2024"/>
    <x v="3"/>
    <s v="Boul. Express"/>
    <x v="9"/>
    <n v="8"/>
    <s v="paquet x10"/>
    <n v="3.98"/>
    <n v="31.84"/>
  </r>
  <r>
    <s v="FAC-5355"/>
    <s v="17/04/2024"/>
    <x v="3"/>
    <s v="LEGUMEX"/>
    <x v="3"/>
    <n v="4"/>
    <s v="boite 3kg"/>
    <n v="4.2300000000000004"/>
    <n v="16.920000000000002"/>
  </r>
  <r>
    <s v="FAC-5356"/>
    <s v="17/04/2024"/>
    <x v="3"/>
    <s v="LEGUMEX"/>
    <x v="4"/>
    <n v="6"/>
    <s v="bidon 5L"/>
    <n v="21.63"/>
    <n v="129.78"/>
  </r>
  <r>
    <s v="FAC-5357"/>
    <s v="17/04/2024"/>
    <x v="3"/>
    <s v="LEGUMEX"/>
    <x v="5"/>
    <n v="8"/>
    <s v="seau 5kg"/>
    <n v="9.4499999999999993"/>
    <n v="75.599999999999994"/>
  </r>
  <r>
    <s v="FAC-5358"/>
    <s v="17/04/2024"/>
    <x v="3"/>
    <s v="Moulin du Nord"/>
    <x v="10"/>
    <n v="3"/>
    <s v="sac 25kg"/>
    <n v="17.84"/>
    <n v="53.519999999999996"/>
  </r>
  <r>
    <s v="FAC-5359"/>
    <s v="17/04/2024"/>
    <x v="3"/>
    <s v="Fromag. Centrale"/>
    <x v="11"/>
    <n v="10"/>
    <s v="kg"/>
    <n v="8.4600000000000009"/>
    <n v="84.600000000000009"/>
  </r>
  <r>
    <s v="FAC-5360"/>
    <s v="18/04/2024"/>
    <x v="3"/>
    <s v="Metro"/>
    <x v="0"/>
    <n v="4"/>
    <s v="pack 24"/>
    <n v="14.9"/>
    <n v="59.6"/>
  </r>
  <r>
    <s v="FAC-5361"/>
    <s v="18/04/2024"/>
    <x v="3"/>
    <s v="Metro"/>
    <x v="1"/>
    <n v="5"/>
    <s v="pack 24"/>
    <n v="13.09"/>
    <n v="65.45"/>
  </r>
  <r>
    <s v="FAC-5362"/>
    <s v="18/04/2024"/>
    <x v="3"/>
    <s v="Metro"/>
    <x v="2"/>
    <n v="5"/>
    <s v="kg"/>
    <n v="1.17"/>
    <n v="5.85"/>
  </r>
  <r>
    <s v="FAC-5363"/>
    <s v="19/04/2024"/>
    <x v="3"/>
    <s v="B. Halal Pro"/>
    <x v="6"/>
    <n v="10"/>
    <s v="kg"/>
    <n v="9.25"/>
    <n v="92.5"/>
  </r>
  <r>
    <s v="FAC-5364"/>
    <s v="19/04/2024"/>
    <x v="3"/>
    <s v="B. Halal Pro"/>
    <x v="7"/>
    <n v="8"/>
    <s v="kg"/>
    <n v="7.75"/>
    <n v="62"/>
  </r>
  <r>
    <s v="FAC-5365"/>
    <s v="19/04/2024"/>
    <x v="3"/>
    <s v="Boul. Express"/>
    <x v="8"/>
    <n v="10"/>
    <s v="paquet x12"/>
    <n v="5.96"/>
    <n v="59.6"/>
  </r>
  <r>
    <s v="FAC-5366"/>
    <s v="19/04/2024"/>
    <x v="3"/>
    <s v="Boul. Express"/>
    <x v="9"/>
    <n v="10"/>
    <s v="paquet x10"/>
    <n v="4"/>
    <n v="40"/>
  </r>
  <r>
    <s v="FAC-5367"/>
    <s v="20/04/2024"/>
    <x v="3"/>
    <s v="Fromag. Centrale"/>
    <x v="11"/>
    <n v="6"/>
    <s v="kg"/>
    <n v="9.14"/>
    <n v="54.84"/>
  </r>
  <r>
    <s v="FAC-5368"/>
    <s v="22/04/2024"/>
    <x v="3"/>
    <s v="Metro"/>
    <x v="0"/>
    <n v="6"/>
    <s v="pack 24"/>
    <n v="14.79"/>
    <n v="88.74"/>
  </r>
  <r>
    <s v="FAC-5369"/>
    <s v="22/04/2024"/>
    <x v="3"/>
    <s v="Metro"/>
    <x v="1"/>
    <n v="6"/>
    <s v="pack 24"/>
    <n v="12.85"/>
    <n v="77.099999999999994"/>
  </r>
  <r>
    <s v="FAC-5370"/>
    <s v="22/04/2024"/>
    <x v="3"/>
    <s v="Metro"/>
    <x v="2"/>
    <n v="3"/>
    <s v="kg"/>
    <n v="1.2"/>
    <n v="3.5999999999999996"/>
  </r>
  <r>
    <s v="FAC-5371"/>
    <s v="22/04/2024"/>
    <x v="3"/>
    <s v="LEGUMEX"/>
    <x v="3"/>
    <n v="10"/>
    <s v="boite 3kg"/>
    <n v="4.53"/>
    <n v="45.300000000000004"/>
  </r>
  <r>
    <s v="FAC-5372"/>
    <s v="22/04/2024"/>
    <x v="3"/>
    <s v="LEGUMEX"/>
    <x v="4"/>
    <n v="4"/>
    <s v="bidon 5L"/>
    <n v="21.72"/>
    <n v="86.88"/>
  </r>
  <r>
    <s v="FAC-5373"/>
    <s v="22/04/2024"/>
    <x v="3"/>
    <s v="LEGUMEX"/>
    <x v="5"/>
    <n v="8"/>
    <s v="seau 5kg"/>
    <n v="9.66"/>
    <n v="77.28"/>
  </r>
  <r>
    <s v="FAC-5374"/>
    <s v="23/04/2024"/>
    <x v="3"/>
    <s v="B. Halal Pro"/>
    <x v="6"/>
    <n v="10"/>
    <s v="kg"/>
    <n v="10.050000000000001"/>
    <n v="100.5"/>
  </r>
  <r>
    <s v="FAC-5375"/>
    <s v="23/04/2024"/>
    <x v="3"/>
    <s v="B. Halal Pro"/>
    <x v="7"/>
    <n v="10"/>
    <s v="kg"/>
    <n v="7.2"/>
    <n v="72"/>
  </r>
  <r>
    <s v="FAC-5376"/>
    <s v="23/04/2024"/>
    <x v="3"/>
    <s v="Boul. Express"/>
    <x v="8"/>
    <n v="12"/>
    <s v="paquet x12"/>
    <n v="5.96"/>
    <n v="71.52"/>
  </r>
  <r>
    <s v="FAC-5377"/>
    <s v="23/04/2024"/>
    <x v="3"/>
    <s v="Boul. Express"/>
    <x v="9"/>
    <n v="10"/>
    <s v="paquet x10"/>
    <n v="3.95"/>
    <n v="39.5"/>
  </r>
  <r>
    <s v="FAC-5378"/>
    <s v="24/04/2024"/>
    <x v="3"/>
    <s v="LEGUMEX"/>
    <x v="3"/>
    <n v="8"/>
    <s v="boite 3kg"/>
    <n v="4.3499999999999996"/>
    <n v="34.799999999999997"/>
  </r>
  <r>
    <s v="FAC-5379"/>
    <s v="24/04/2024"/>
    <x v="3"/>
    <s v="LEGUMEX"/>
    <x v="4"/>
    <n v="10"/>
    <s v="bidon 5L"/>
    <n v="21.38"/>
    <n v="213.79999999999998"/>
  </r>
  <r>
    <s v="FAC-5380"/>
    <s v="24/04/2024"/>
    <x v="3"/>
    <s v="LEGUMEX"/>
    <x v="5"/>
    <n v="8"/>
    <s v="seau 5kg"/>
    <n v="10.24"/>
    <n v="81.92"/>
  </r>
  <r>
    <s v="FAC-5381"/>
    <s v="24/04/2024"/>
    <x v="3"/>
    <s v="Moulin du Nord"/>
    <x v="10"/>
    <n v="2"/>
    <s v="sac 25kg"/>
    <n v="18.22"/>
    <n v="36.44"/>
  </r>
  <r>
    <s v="FAC-5382"/>
    <s v="24/04/2024"/>
    <x v="3"/>
    <s v="Fromag. Centrale"/>
    <x v="11"/>
    <n v="6"/>
    <s v="kg"/>
    <n v="8.8800000000000008"/>
    <n v="53.28"/>
  </r>
  <r>
    <s v="FAC-5383"/>
    <s v="25/04/2024"/>
    <x v="3"/>
    <s v="Metro"/>
    <x v="0"/>
    <n v="6"/>
    <s v="pack 24"/>
    <n v="14.01"/>
    <n v="84.06"/>
  </r>
  <r>
    <s v="FAC-5384"/>
    <s v="25/04/2024"/>
    <x v="3"/>
    <s v="Metro"/>
    <x v="1"/>
    <n v="5"/>
    <s v="pack 24"/>
    <n v="13.26"/>
    <n v="66.3"/>
  </r>
  <r>
    <s v="FAC-5385"/>
    <s v="25/04/2024"/>
    <x v="3"/>
    <s v="Metro"/>
    <x v="2"/>
    <n v="4"/>
    <s v="kg"/>
    <n v="1.24"/>
    <n v="4.96"/>
  </r>
  <r>
    <s v="FAC-5386"/>
    <s v="26/04/2024"/>
    <x v="3"/>
    <s v="B. Halal Pro"/>
    <x v="6"/>
    <n v="5"/>
    <s v="kg"/>
    <n v="9.3699999999999992"/>
    <n v="46.849999999999994"/>
  </r>
  <r>
    <s v="FAC-5387"/>
    <s v="26/04/2024"/>
    <x v="3"/>
    <s v="B. Halal Pro"/>
    <x v="7"/>
    <n v="8"/>
    <s v="kg"/>
    <n v="7.08"/>
    <n v="56.64"/>
  </r>
  <r>
    <s v="FAC-5388"/>
    <s v="26/04/2024"/>
    <x v="3"/>
    <s v="Boul. Express"/>
    <x v="8"/>
    <n v="8"/>
    <s v="paquet x12"/>
    <n v="5.69"/>
    <n v="45.52"/>
  </r>
  <r>
    <s v="FAC-5389"/>
    <s v="26/04/2024"/>
    <x v="3"/>
    <s v="Boul. Express"/>
    <x v="9"/>
    <n v="5"/>
    <s v="paquet x10"/>
    <n v="4.04"/>
    <n v="20.2"/>
  </r>
  <r>
    <s v="FAC-5390"/>
    <s v="27/04/2024"/>
    <x v="3"/>
    <s v="Fromag. Centrale"/>
    <x v="11"/>
    <n v="6"/>
    <s v="kg"/>
    <n v="9.3699999999999992"/>
    <n v="56.22"/>
  </r>
  <r>
    <s v="FAC-5391"/>
    <s v="29/04/2024"/>
    <x v="3"/>
    <s v="Metro"/>
    <x v="0"/>
    <n v="6"/>
    <s v="pack 24"/>
    <n v="14.23"/>
    <n v="85.38"/>
  </r>
  <r>
    <s v="FAC-5392"/>
    <s v="29/04/2024"/>
    <x v="3"/>
    <s v="Metro"/>
    <x v="1"/>
    <n v="6"/>
    <s v="pack 24"/>
    <n v="13.01"/>
    <n v="78.06"/>
  </r>
  <r>
    <s v="FAC-5393"/>
    <s v="29/04/2024"/>
    <x v="3"/>
    <s v="Metro"/>
    <x v="2"/>
    <n v="5"/>
    <s v="kg"/>
    <n v="1.24"/>
    <n v="6.2"/>
  </r>
  <r>
    <s v="FAC-5394"/>
    <s v="29/04/2024"/>
    <x v="3"/>
    <s v="LEGUMEX"/>
    <x v="3"/>
    <n v="6"/>
    <s v="boite 3kg"/>
    <n v="4.4800000000000004"/>
    <n v="26.880000000000003"/>
  </r>
  <r>
    <s v="FAC-5395"/>
    <s v="29/04/2024"/>
    <x v="3"/>
    <s v="LEGUMEX"/>
    <x v="4"/>
    <n v="6"/>
    <s v="bidon 5L"/>
    <n v="23.17"/>
    <n v="139.02000000000001"/>
  </r>
  <r>
    <s v="FAC-5396"/>
    <s v="29/04/2024"/>
    <x v="3"/>
    <s v="LEGUMEX"/>
    <x v="5"/>
    <n v="6"/>
    <s v="seau 5kg"/>
    <n v="10.32"/>
    <n v="61.92"/>
  </r>
  <r>
    <s v="FAC-5397"/>
    <s v="30/04/2024"/>
    <x v="3"/>
    <s v="B. Halal Pro"/>
    <x v="6"/>
    <n v="12"/>
    <s v="kg"/>
    <n v="9.18"/>
    <n v="110.16"/>
  </r>
  <r>
    <s v="FAC-5398"/>
    <s v="30/04/2024"/>
    <x v="3"/>
    <s v="B. Halal Pro"/>
    <x v="7"/>
    <n v="5"/>
    <s v="kg"/>
    <n v="7.33"/>
    <n v="36.65"/>
  </r>
  <r>
    <s v="FAC-5399"/>
    <s v="30/04/2024"/>
    <x v="3"/>
    <s v="Boul. Express"/>
    <x v="8"/>
    <n v="12"/>
    <s v="paquet x12"/>
    <n v="6.03"/>
    <n v="72.36"/>
  </r>
  <r>
    <s v="FAC-5400"/>
    <s v="30/04/2024"/>
    <x v="3"/>
    <s v="Boul. Express"/>
    <x v="9"/>
    <n v="5"/>
    <s v="paquet x10"/>
    <n v="4.01"/>
    <n v="20.049999999999997"/>
  </r>
  <r>
    <s v="FAC-5401"/>
    <s v="01/05/2024"/>
    <x v="4"/>
    <s v="LEGUMEX"/>
    <x v="3"/>
    <n v="10"/>
    <s v="boite 3kg"/>
    <n v="4.34"/>
    <n v="43.4"/>
  </r>
  <r>
    <s v="FAC-5402"/>
    <s v="01/05/2024"/>
    <x v="4"/>
    <s v="LEGUMEX"/>
    <x v="4"/>
    <n v="6"/>
    <s v="bidon 5L"/>
    <n v="21.27"/>
    <n v="127.62"/>
  </r>
  <r>
    <s v="FAC-5403"/>
    <s v="01/05/2024"/>
    <x v="4"/>
    <s v="LEGUMEX"/>
    <x v="5"/>
    <n v="4"/>
    <s v="seau 5kg"/>
    <n v="9.86"/>
    <n v="39.44"/>
  </r>
  <r>
    <s v="FAC-5404"/>
    <s v="01/05/2024"/>
    <x v="4"/>
    <s v="Moulin du Nord"/>
    <x v="10"/>
    <n v="2"/>
    <s v="sac 25kg"/>
    <n v="18.27"/>
    <n v="36.54"/>
  </r>
  <r>
    <s v="FAC-5405"/>
    <s v="01/05/2024"/>
    <x v="4"/>
    <s v="Fromag. Centrale"/>
    <x v="11"/>
    <n v="8"/>
    <s v="kg"/>
    <n v="8.86"/>
    <n v="70.88"/>
  </r>
  <r>
    <s v="FAC-5406"/>
    <s v="02/05/2024"/>
    <x v="4"/>
    <s v="Metro"/>
    <x v="0"/>
    <n v="4"/>
    <s v="pack 24"/>
    <n v="14.79"/>
    <n v="59.16"/>
  </r>
  <r>
    <s v="FAC-5407"/>
    <s v="02/05/2024"/>
    <x v="4"/>
    <s v="Metro"/>
    <x v="1"/>
    <n v="5"/>
    <s v="pack 24"/>
    <n v="13.53"/>
    <n v="67.649999999999991"/>
  </r>
  <r>
    <s v="FAC-5408"/>
    <s v="02/05/2024"/>
    <x v="4"/>
    <s v="Metro"/>
    <x v="2"/>
    <n v="4"/>
    <s v="kg"/>
    <n v="1.18"/>
    <n v="4.72"/>
  </r>
  <r>
    <s v="FAC-5409"/>
    <s v="03/05/2024"/>
    <x v="4"/>
    <s v="B. Halal Pro"/>
    <x v="6"/>
    <n v="12"/>
    <s v="kg"/>
    <n v="10.28"/>
    <n v="123.35999999999999"/>
  </r>
  <r>
    <s v="FAC-5410"/>
    <s v="03/05/2024"/>
    <x v="4"/>
    <s v="B. Halal Pro"/>
    <x v="7"/>
    <n v="12"/>
    <s v="kg"/>
    <n v="6.72"/>
    <n v="80.64"/>
  </r>
  <r>
    <s v="FAC-5411"/>
    <s v="03/05/2024"/>
    <x v="4"/>
    <s v="Boul. Express"/>
    <x v="8"/>
    <n v="12"/>
    <s v="paquet x12"/>
    <n v="5.95"/>
    <n v="71.400000000000006"/>
  </r>
  <r>
    <s v="FAC-5412"/>
    <s v="03/05/2024"/>
    <x v="4"/>
    <s v="Boul. Express"/>
    <x v="9"/>
    <n v="10"/>
    <s v="paquet x10"/>
    <n v="3.94"/>
    <n v="39.4"/>
  </r>
  <r>
    <s v="FAC-5413"/>
    <s v="04/05/2024"/>
    <x v="4"/>
    <s v="Fromag. Centrale"/>
    <x v="11"/>
    <n v="10"/>
    <s v="kg"/>
    <n v="9.0500000000000007"/>
    <n v="90.5"/>
  </r>
  <r>
    <s v="FAC-5414"/>
    <s v="06/05/2024"/>
    <x v="4"/>
    <s v="Metro"/>
    <x v="0"/>
    <n v="3"/>
    <s v="pack 24"/>
    <n v="14.17"/>
    <n v="42.51"/>
  </r>
  <r>
    <s v="FAC-5415"/>
    <s v="06/05/2024"/>
    <x v="4"/>
    <s v="Metro"/>
    <x v="1"/>
    <n v="4"/>
    <s v="pack 24"/>
    <n v="13.21"/>
    <n v="52.84"/>
  </r>
  <r>
    <s v="FAC-5416"/>
    <s v="06/05/2024"/>
    <x v="4"/>
    <s v="Metro"/>
    <x v="2"/>
    <n v="5"/>
    <s v="kg"/>
    <n v="1.27"/>
    <n v="6.35"/>
  </r>
  <r>
    <s v="FAC-5417"/>
    <s v="06/05/2024"/>
    <x v="4"/>
    <s v="LEGUMEX"/>
    <x v="3"/>
    <n v="4"/>
    <s v="boite 3kg"/>
    <n v="4.2699999999999996"/>
    <n v="17.079999999999998"/>
  </r>
  <r>
    <s v="FAC-5418"/>
    <s v="06/05/2024"/>
    <x v="4"/>
    <s v="LEGUMEX"/>
    <x v="4"/>
    <n v="10"/>
    <s v="bidon 5L"/>
    <n v="21.25"/>
    <n v="212.5"/>
  </r>
  <r>
    <s v="FAC-5419"/>
    <s v="06/05/2024"/>
    <x v="4"/>
    <s v="LEGUMEX"/>
    <x v="5"/>
    <n v="10"/>
    <s v="seau 5kg"/>
    <n v="9.3699999999999992"/>
    <n v="93.699999999999989"/>
  </r>
  <r>
    <s v="FAC-5420"/>
    <s v="07/05/2024"/>
    <x v="4"/>
    <s v="B. Halal Pro"/>
    <x v="6"/>
    <n v="6"/>
    <s v="kg"/>
    <n v="8.93"/>
    <n v="53.58"/>
  </r>
  <r>
    <s v="FAC-5421"/>
    <s v="07/05/2024"/>
    <x v="4"/>
    <s v="B. Halal Pro"/>
    <x v="7"/>
    <n v="6"/>
    <s v="kg"/>
    <n v="6.84"/>
    <n v="41.04"/>
  </r>
  <r>
    <s v="FAC-5422"/>
    <s v="07/05/2024"/>
    <x v="4"/>
    <s v="Boul. Express"/>
    <x v="8"/>
    <n v="10"/>
    <s v="paquet x12"/>
    <n v="5.86"/>
    <n v="58.6"/>
  </r>
  <r>
    <s v="FAC-5423"/>
    <s v="07/05/2024"/>
    <x v="4"/>
    <s v="Boul. Express"/>
    <x v="9"/>
    <n v="12"/>
    <s v="paquet x10"/>
    <n v="4.04"/>
    <n v="48.480000000000004"/>
  </r>
  <r>
    <s v="FAC-5424"/>
    <s v="08/05/2024"/>
    <x v="4"/>
    <s v="LEGUMEX"/>
    <x v="3"/>
    <n v="4"/>
    <s v="boite 3kg"/>
    <n v="4.3099999999999996"/>
    <n v="17.239999999999998"/>
  </r>
  <r>
    <s v="FAC-5425"/>
    <s v="08/05/2024"/>
    <x v="4"/>
    <s v="LEGUMEX"/>
    <x v="4"/>
    <n v="10"/>
    <s v="bidon 5L"/>
    <n v="22.61"/>
    <n v="226.1"/>
  </r>
  <r>
    <s v="FAC-5426"/>
    <s v="08/05/2024"/>
    <x v="4"/>
    <s v="LEGUMEX"/>
    <x v="5"/>
    <n v="10"/>
    <s v="seau 5kg"/>
    <n v="10.39"/>
    <n v="103.9"/>
  </r>
  <r>
    <s v="FAC-5427"/>
    <s v="08/05/2024"/>
    <x v="4"/>
    <s v="Moulin du Nord"/>
    <x v="10"/>
    <n v="3"/>
    <s v="sac 25kg"/>
    <n v="18.97"/>
    <n v="56.91"/>
  </r>
  <r>
    <s v="FAC-5428"/>
    <s v="08/05/2024"/>
    <x v="4"/>
    <s v="Fromag. Centrale"/>
    <x v="11"/>
    <n v="6"/>
    <s v="kg"/>
    <n v="8.44"/>
    <n v="50.64"/>
  </r>
  <r>
    <s v="FAC-5429"/>
    <s v="09/05/2024"/>
    <x v="4"/>
    <s v="Metro"/>
    <x v="0"/>
    <n v="3"/>
    <s v="pack 24"/>
    <n v="14.47"/>
    <n v="43.410000000000004"/>
  </r>
  <r>
    <s v="FAC-5430"/>
    <s v="09/05/2024"/>
    <x v="4"/>
    <s v="Metro"/>
    <x v="1"/>
    <n v="5"/>
    <s v="pack 24"/>
    <n v="13.78"/>
    <n v="68.899999999999991"/>
  </r>
  <r>
    <s v="FAC-5431"/>
    <s v="09/05/2024"/>
    <x v="4"/>
    <s v="Metro"/>
    <x v="2"/>
    <n v="3"/>
    <s v="kg"/>
    <n v="1.18"/>
    <n v="3.54"/>
  </r>
  <r>
    <s v="FAC-5432"/>
    <s v="10/05/2024"/>
    <x v="4"/>
    <s v="B. Halal Pro"/>
    <x v="6"/>
    <n v="8"/>
    <s v="kg"/>
    <n v="10.17"/>
    <n v="81.36"/>
  </r>
  <r>
    <s v="FAC-5433"/>
    <s v="10/05/2024"/>
    <x v="4"/>
    <s v="B. Halal Pro"/>
    <x v="7"/>
    <n v="6"/>
    <s v="kg"/>
    <n v="7.49"/>
    <n v="44.94"/>
  </r>
  <r>
    <s v="FAC-5434"/>
    <s v="10/05/2024"/>
    <x v="4"/>
    <s v="Boul. Express"/>
    <x v="8"/>
    <n v="5"/>
    <s v="paquet x12"/>
    <n v="5.86"/>
    <n v="29.3"/>
  </r>
  <r>
    <s v="FAC-5435"/>
    <s v="10/05/2024"/>
    <x v="4"/>
    <s v="Boul. Express"/>
    <x v="9"/>
    <n v="12"/>
    <s v="paquet x10"/>
    <n v="4.01"/>
    <n v="48.12"/>
  </r>
  <r>
    <s v="FAC-5436"/>
    <s v="11/05/2024"/>
    <x v="4"/>
    <s v="Fromag. Centrale"/>
    <x v="11"/>
    <n v="8"/>
    <s v="kg"/>
    <n v="8.83"/>
    <n v="70.64"/>
  </r>
  <r>
    <s v="FAC-5437"/>
    <s v="13/05/2024"/>
    <x v="4"/>
    <s v="Metro"/>
    <x v="0"/>
    <n v="5"/>
    <s v="pack 24"/>
    <n v="14.74"/>
    <n v="73.7"/>
  </r>
  <r>
    <s v="FAC-5438"/>
    <s v="13/05/2024"/>
    <x v="4"/>
    <s v="Metro"/>
    <x v="1"/>
    <n v="6"/>
    <s v="pack 24"/>
    <n v="13.65"/>
    <n v="81.900000000000006"/>
  </r>
  <r>
    <s v="FAC-5439"/>
    <s v="13/05/2024"/>
    <x v="4"/>
    <s v="Metro"/>
    <x v="2"/>
    <n v="5"/>
    <s v="kg"/>
    <n v="1.2"/>
    <n v="6"/>
  </r>
  <r>
    <s v="FAC-5440"/>
    <s v="13/05/2024"/>
    <x v="4"/>
    <s v="LEGUMEX"/>
    <x v="3"/>
    <n v="4"/>
    <s v="boite 3kg"/>
    <n v="4.3099999999999996"/>
    <n v="17.239999999999998"/>
  </r>
  <r>
    <s v="FAC-5441"/>
    <s v="13/05/2024"/>
    <x v="4"/>
    <s v="LEGUMEX"/>
    <x v="4"/>
    <n v="6"/>
    <s v="bidon 5L"/>
    <n v="23.67"/>
    <n v="142.02000000000001"/>
  </r>
  <r>
    <s v="FAC-5442"/>
    <s v="13/05/2024"/>
    <x v="4"/>
    <s v="LEGUMEX"/>
    <x v="5"/>
    <n v="10"/>
    <s v="seau 5kg"/>
    <n v="9.5299999999999994"/>
    <n v="95.3"/>
  </r>
  <r>
    <s v="FAC-5443"/>
    <s v="14/05/2024"/>
    <x v="4"/>
    <s v="B. Halal Pro"/>
    <x v="6"/>
    <n v="5"/>
    <s v="kg"/>
    <n v="8.43"/>
    <n v="42.15"/>
  </r>
  <r>
    <s v="FAC-5444"/>
    <s v="14/05/2024"/>
    <x v="4"/>
    <s v="B. Halal Pro"/>
    <x v="7"/>
    <n v="6"/>
    <s v="kg"/>
    <n v="6.99"/>
    <n v="41.94"/>
  </r>
  <r>
    <s v="FAC-5445"/>
    <s v="14/05/2024"/>
    <x v="4"/>
    <s v="Boul. Express"/>
    <x v="8"/>
    <n v="12"/>
    <s v="paquet x12"/>
    <n v="5.83"/>
    <n v="69.960000000000008"/>
  </r>
  <r>
    <s v="FAC-5446"/>
    <s v="14/05/2024"/>
    <x v="4"/>
    <s v="Boul. Express"/>
    <x v="9"/>
    <n v="8"/>
    <s v="paquet x10"/>
    <n v="3.99"/>
    <n v="31.92"/>
  </r>
  <r>
    <s v="FAC-5447"/>
    <s v="15/05/2024"/>
    <x v="4"/>
    <s v="LEGUMEX"/>
    <x v="3"/>
    <n v="8"/>
    <s v="boite 3kg"/>
    <n v="4.28"/>
    <n v="34.24"/>
  </r>
  <r>
    <s v="FAC-5448"/>
    <s v="15/05/2024"/>
    <x v="4"/>
    <s v="LEGUMEX"/>
    <x v="4"/>
    <n v="8"/>
    <s v="bidon 5L"/>
    <n v="23.51"/>
    <n v="188.08"/>
  </r>
  <r>
    <s v="FAC-5449"/>
    <s v="15/05/2024"/>
    <x v="4"/>
    <s v="LEGUMEX"/>
    <x v="5"/>
    <n v="6"/>
    <s v="seau 5kg"/>
    <n v="10.09"/>
    <n v="60.54"/>
  </r>
  <r>
    <s v="FAC-5450"/>
    <s v="15/05/2024"/>
    <x v="4"/>
    <s v="Moulin du Nord"/>
    <x v="10"/>
    <n v="2"/>
    <s v="sac 25kg"/>
    <n v="18.690000000000001"/>
    <n v="37.380000000000003"/>
  </r>
  <r>
    <s v="FAC-5451"/>
    <s v="15/05/2024"/>
    <x v="4"/>
    <s v="Fromag. Centrale"/>
    <x v="11"/>
    <n v="6"/>
    <s v="kg"/>
    <n v="9.4600000000000009"/>
    <n v="56.760000000000005"/>
  </r>
  <r>
    <s v="FAC-5452"/>
    <s v="16/05/2024"/>
    <x v="4"/>
    <s v="Metro"/>
    <x v="0"/>
    <n v="5"/>
    <s v="pack 24"/>
    <n v="14.59"/>
    <n v="72.95"/>
  </r>
  <r>
    <s v="FAC-5453"/>
    <s v="16/05/2024"/>
    <x v="4"/>
    <s v="Metro"/>
    <x v="1"/>
    <n v="5"/>
    <s v="pack 24"/>
    <n v="12.95"/>
    <n v="64.75"/>
  </r>
  <r>
    <s v="FAC-5454"/>
    <s v="16/05/2024"/>
    <x v="4"/>
    <s v="Metro"/>
    <x v="2"/>
    <n v="6"/>
    <s v="kg"/>
    <n v="1.25"/>
    <n v="7.5"/>
  </r>
  <r>
    <s v="FAC-5455"/>
    <s v="17/05/2024"/>
    <x v="4"/>
    <s v="B. Halal Pro"/>
    <x v="6"/>
    <n v="8"/>
    <s v="kg"/>
    <n v="9.02"/>
    <n v="72.16"/>
  </r>
  <r>
    <s v="FAC-5456"/>
    <s v="17/05/2024"/>
    <x v="4"/>
    <s v="B. Halal Pro"/>
    <x v="7"/>
    <n v="10"/>
    <s v="kg"/>
    <n v="7.02"/>
    <n v="70.199999999999989"/>
  </r>
  <r>
    <s v="FAC-5457"/>
    <s v="17/05/2024"/>
    <x v="4"/>
    <s v="Boul. Express"/>
    <x v="8"/>
    <n v="10"/>
    <s v="paquet x12"/>
    <n v="5.76"/>
    <n v="57.599999999999994"/>
  </r>
  <r>
    <s v="FAC-5458"/>
    <s v="17/05/2024"/>
    <x v="4"/>
    <s v="Boul. Express"/>
    <x v="9"/>
    <n v="8"/>
    <s v="paquet x10"/>
    <n v="3.85"/>
    <n v="30.8"/>
  </r>
  <r>
    <s v="FAC-5459"/>
    <s v="18/05/2024"/>
    <x v="4"/>
    <s v="Fromag. Centrale"/>
    <x v="11"/>
    <n v="4"/>
    <s v="kg"/>
    <n v="9.27"/>
    <n v="37.08"/>
  </r>
  <r>
    <s v="FAC-5460"/>
    <s v="20/05/2024"/>
    <x v="4"/>
    <s v="Metro"/>
    <x v="0"/>
    <n v="6"/>
    <s v="pack 24"/>
    <n v="14.1"/>
    <n v="84.6"/>
  </r>
  <r>
    <s v="FAC-5461"/>
    <s v="20/05/2024"/>
    <x v="4"/>
    <s v="Metro"/>
    <x v="1"/>
    <n v="4"/>
    <s v="pack 24"/>
    <n v="13.29"/>
    <n v="53.16"/>
  </r>
  <r>
    <s v="FAC-5462"/>
    <s v="20/05/2024"/>
    <x v="4"/>
    <s v="Metro"/>
    <x v="2"/>
    <n v="6"/>
    <s v="kg"/>
    <n v="1.23"/>
    <n v="7.38"/>
  </r>
  <r>
    <s v="FAC-5463"/>
    <s v="20/05/2024"/>
    <x v="4"/>
    <s v="LEGUMEX"/>
    <x v="3"/>
    <n v="4"/>
    <s v="boite 3kg"/>
    <n v="4.17"/>
    <n v="16.68"/>
  </r>
  <r>
    <s v="FAC-5464"/>
    <s v="20/05/2024"/>
    <x v="4"/>
    <s v="LEGUMEX"/>
    <x v="4"/>
    <n v="6"/>
    <s v="bidon 5L"/>
    <n v="22.77"/>
    <n v="136.62"/>
  </r>
  <r>
    <s v="FAC-5465"/>
    <s v="20/05/2024"/>
    <x v="4"/>
    <s v="LEGUMEX"/>
    <x v="5"/>
    <n v="6"/>
    <s v="seau 5kg"/>
    <n v="10.47"/>
    <n v="62.820000000000007"/>
  </r>
  <r>
    <s v="FAC-5466"/>
    <s v="21/05/2024"/>
    <x v="4"/>
    <s v="B. Halal Pro"/>
    <x v="6"/>
    <n v="5"/>
    <s v="kg"/>
    <n v="10.49"/>
    <n v="52.45"/>
  </r>
  <r>
    <s v="FAC-5467"/>
    <s v="21/05/2024"/>
    <x v="4"/>
    <s v="B. Halal Pro"/>
    <x v="7"/>
    <n v="6"/>
    <s v="kg"/>
    <n v="7.53"/>
    <n v="45.18"/>
  </r>
  <r>
    <s v="FAC-5468"/>
    <s v="21/05/2024"/>
    <x v="4"/>
    <s v="Boul. Express"/>
    <x v="8"/>
    <n v="5"/>
    <s v="paquet x12"/>
    <n v="5.99"/>
    <n v="29.950000000000003"/>
  </r>
  <r>
    <s v="FAC-5469"/>
    <s v="21/05/2024"/>
    <x v="4"/>
    <s v="Boul. Express"/>
    <x v="9"/>
    <n v="10"/>
    <s v="paquet x10"/>
    <n v="4.04"/>
    <n v="40.4"/>
  </r>
  <r>
    <s v="FAC-5470"/>
    <s v="22/05/2024"/>
    <x v="4"/>
    <s v="LEGUMEX"/>
    <x v="3"/>
    <n v="6"/>
    <s v="boite 3kg"/>
    <n v="4.4800000000000004"/>
    <n v="26.880000000000003"/>
  </r>
  <r>
    <s v="FAC-5471"/>
    <s v="22/05/2024"/>
    <x v="4"/>
    <s v="LEGUMEX"/>
    <x v="4"/>
    <n v="4"/>
    <s v="bidon 5L"/>
    <n v="21.68"/>
    <n v="86.72"/>
  </r>
  <r>
    <s v="FAC-5472"/>
    <s v="22/05/2024"/>
    <x v="4"/>
    <s v="LEGUMEX"/>
    <x v="5"/>
    <m/>
    <s v="seau 5kg"/>
    <n v="10.14"/>
    <n v="0"/>
  </r>
  <r>
    <s v="FAC-5473"/>
    <s v="22/05/2024"/>
    <x v="4"/>
    <s v="Moulin du Nord"/>
    <x v="10"/>
    <n v="4"/>
    <s v="sac 25kg"/>
    <n v="19.079999999999998"/>
    <n v="76.319999999999993"/>
  </r>
  <r>
    <s v="FAC-5474"/>
    <s v="22/05/2024"/>
    <x v="4"/>
    <s v="Fromag. Centrale"/>
    <x v="11"/>
    <n v="10"/>
    <s v="kg"/>
    <n v="8.6199999999999992"/>
    <n v="86.199999999999989"/>
  </r>
  <r>
    <s v="FAC-5475"/>
    <s v="23/05/2024"/>
    <x v="4"/>
    <s v="Metro"/>
    <x v="0"/>
    <n v="5"/>
    <s v="pack 24"/>
    <n v="14.08"/>
    <n v="70.400000000000006"/>
  </r>
  <r>
    <s v="FAC-5476"/>
    <s v="23/05/2024"/>
    <x v="4"/>
    <s v="Metro"/>
    <x v="1"/>
    <n v="4"/>
    <s v="pack 24"/>
    <n v="13.37"/>
    <n v="53.48"/>
  </r>
  <r>
    <s v="FAC-5477"/>
    <s v="23/05/2024"/>
    <x v="4"/>
    <s v="Metro"/>
    <x v="2"/>
    <n v="5"/>
    <s v="kg"/>
    <n v="1.21"/>
    <n v="6.05"/>
  </r>
  <r>
    <s v="FAC-5478"/>
    <s v="24/05/2024"/>
    <x v="4"/>
    <s v="B. Halal Pro"/>
    <x v="6"/>
    <n v="8"/>
    <s v="kg"/>
    <n v="10.54"/>
    <n v="84.32"/>
  </r>
  <r>
    <s v="FAC-5479"/>
    <s v="24/05/2024"/>
    <x v="4"/>
    <s v="B. Halal Pro"/>
    <x v="7"/>
    <n v="8"/>
    <s v="kg"/>
    <n v="6.93"/>
    <n v="55.44"/>
  </r>
  <r>
    <s v="FAC-5480"/>
    <s v="24/05/2024"/>
    <x v="4"/>
    <s v="Boul. Express"/>
    <x v="8"/>
    <n v="12"/>
    <s v="paquet x12"/>
    <n v="5.92"/>
    <n v="71.039999999999992"/>
  </r>
  <r>
    <s v="FAC-5481"/>
    <s v="24/05/2024"/>
    <x v="4"/>
    <s v="Boul. Express"/>
    <x v="9"/>
    <n v="10"/>
    <s v="paquet x10"/>
    <n v="3.98"/>
    <n v="39.799999999999997"/>
  </r>
  <r>
    <s v="FAC-5482"/>
    <s v="25/05/2024"/>
    <x v="4"/>
    <s v="Fromag. Centrale"/>
    <x v="11"/>
    <n v="6"/>
    <s v="kg"/>
    <n v="8.89"/>
    <n v="53.34"/>
  </r>
  <r>
    <s v="FAC-5483"/>
    <s v="27/05/2024"/>
    <x v="4"/>
    <s v="Metro"/>
    <x v="0"/>
    <n v="6"/>
    <s v="pack 24"/>
    <n v="14.17"/>
    <n v="85.02"/>
  </r>
  <r>
    <s v="FAC-5484"/>
    <s v="27/05/2024"/>
    <x v="4"/>
    <s v="Metro"/>
    <x v="1"/>
    <n v="5"/>
    <s v="pack 24"/>
    <n v="13.3"/>
    <n v="66.5"/>
  </r>
  <r>
    <s v="FAC-5485"/>
    <s v="27/05/2024"/>
    <x v="4"/>
    <s v="Metro"/>
    <x v="2"/>
    <n v="4"/>
    <s v="kg"/>
    <n v="1.25"/>
    <n v="5"/>
  </r>
  <r>
    <s v="FAC-5486"/>
    <s v="27/05/2024"/>
    <x v="4"/>
    <s v="LEGUMEX"/>
    <x v="3"/>
    <n v="8"/>
    <s v="boite 3kg"/>
    <n v="4.28"/>
    <n v="34.24"/>
  </r>
  <r>
    <s v="FAC-5487"/>
    <s v="27/05/2024"/>
    <x v="4"/>
    <s v="LEGUMEX"/>
    <x v="4"/>
    <n v="6"/>
    <s v="bidon 5L"/>
    <n v="21.08"/>
    <n v="126.47999999999999"/>
  </r>
  <r>
    <s v="FAC-5488"/>
    <s v="27/05/2024"/>
    <x v="4"/>
    <s v="LEGUMEX"/>
    <x v="5"/>
    <n v="10"/>
    <s v="seau 5kg"/>
    <n v="9.52"/>
    <n v="95.199999999999989"/>
  </r>
  <r>
    <s v="FAC-5489"/>
    <s v="28/05/2024"/>
    <x v="4"/>
    <s v="B. Halal Pro"/>
    <x v="6"/>
    <n v="10"/>
    <s v="kg"/>
    <n v="9.99"/>
    <n v="99.9"/>
  </r>
  <r>
    <s v="FAC-5490"/>
    <s v="28/05/2024"/>
    <x v="4"/>
    <s v="B. Halal Pro"/>
    <x v="7"/>
    <n v="10"/>
    <s v="kg"/>
    <n v="7.56"/>
    <n v="75.599999999999994"/>
  </r>
  <r>
    <s v="FAC-5491"/>
    <s v="28/05/2024"/>
    <x v="4"/>
    <s v="Boul. Express"/>
    <x v="8"/>
    <n v="5"/>
    <s v="paquet x12"/>
    <n v="5.84"/>
    <n v="29.2"/>
  </r>
  <r>
    <s v="FAC-5492"/>
    <s v="28/05/2024"/>
    <x v="4"/>
    <s v="Boul. Express"/>
    <x v="9"/>
    <n v="12"/>
    <s v="paquet x10"/>
    <n v="3.99"/>
    <n v="47.88"/>
  </r>
  <r>
    <s v="FAC-5493"/>
    <s v="29/05/2024"/>
    <x v="4"/>
    <s v="LEGUMEX"/>
    <x v="3"/>
    <n v="4"/>
    <s v="boite 3kg"/>
    <n v="4.4000000000000004"/>
    <n v="17.600000000000001"/>
  </r>
  <r>
    <s v="FAC-5494"/>
    <s v="29/05/2024"/>
    <x v="4"/>
    <s v="LEGUMEX"/>
    <x v="4"/>
    <n v="4"/>
    <s v="bidon 5L"/>
    <n v="22.9"/>
    <n v="91.6"/>
  </r>
  <r>
    <s v="FAC-5495"/>
    <s v="29/05/2024"/>
    <x v="4"/>
    <s v="LEGUMEX"/>
    <x v="5"/>
    <n v="10"/>
    <s v="seau 5kg"/>
    <n v="10.57"/>
    <n v="105.7"/>
  </r>
  <r>
    <s v="FAC-5496"/>
    <s v="29/05/2024"/>
    <x v="4"/>
    <s v="Moulin du Nord"/>
    <x v="10"/>
    <n v="2"/>
    <s v="sac 25kg"/>
    <n v="18.059999999999999"/>
    <n v="36.119999999999997"/>
  </r>
  <r>
    <s v="FAC-5497"/>
    <s v="29/05/2024"/>
    <x v="4"/>
    <s v="Fromag. Centrale"/>
    <x v="11"/>
    <n v="10"/>
    <s v="kg"/>
    <n v="8.9"/>
    <n v="89"/>
  </r>
  <r>
    <s v="FAC-5498"/>
    <s v="30/05/2024"/>
    <x v="4"/>
    <s v="Metro"/>
    <x v="0"/>
    <n v="6"/>
    <s v="pack 24"/>
    <n v="14.07"/>
    <n v="84.42"/>
  </r>
  <r>
    <s v="FAC-5499"/>
    <s v="30/05/2024"/>
    <x v="4"/>
    <s v="Metro"/>
    <x v="1"/>
    <n v="4"/>
    <s v="pack 24"/>
    <n v="13.58"/>
    <n v="54.32"/>
  </r>
  <r>
    <s v="FAC-5500"/>
    <s v="30/05/2024"/>
    <x v="4"/>
    <s v="Metro"/>
    <x v="2"/>
    <n v="6"/>
    <s v="kg"/>
    <n v="1.22"/>
    <n v="7.32"/>
  </r>
  <r>
    <s v="FAC-5501"/>
    <s v="31/05/2024"/>
    <x v="4"/>
    <s v="B. Halal Pro"/>
    <x v="6"/>
    <n v="5"/>
    <s v="kg"/>
    <n v="10.26"/>
    <n v="51.3"/>
  </r>
  <r>
    <s v="FAC-5502"/>
    <s v="31/05/2024"/>
    <x v="4"/>
    <s v="B. Halal Pro"/>
    <x v="7"/>
    <n v="12"/>
    <s v="kg"/>
    <n v="7.4"/>
    <n v="88.800000000000011"/>
  </r>
  <r>
    <s v="FAC-5503"/>
    <s v="31/05/2024"/>
    <x v="4"/>
    <s v="Boul. Express"/>
    <x v="8"/>
    <n v="8"/>
    <s v="paquet x12"/>
    <n v="5.97"/>
    <n v="47.76"/>
  </r>
  <r>
    <s v="FAC-5504"/>
    <s v="31/05/2024"/>
    <x v="4"/>
    <s v="Boul. Express"/>
    <x v="9"/>
    <n v="5"/>
    <s v="paquet x10"/>
    <n v="3.89"/>
    <n v="19.45"/>
  </r>
  <r>
    <s v="FAC-5505"/>
    <s v="01/06/2024"/>
    <x v="5"/>
    <s v="Fromag. Centrale"/>
    <x v="11"/>
    <n v="4"/>
    <s v="kg"/>
    <n v="9.24"/>
    <n v="36.96"/>
  </r>
  <r>
    <s v="FAC-5506"/>
    <s v="03/06/2024"/>
    <x v="5"/>
    <s v="Metro"/>
    <x v="0"/>
    <n v="3"/>
    <s v="pack 24"/>
    <n v="14.74"/>
    <n v="44.22"/>
  </r>
  <r>
    <s v="FAC-5507"/>
    <s v="03/06/2024"/>
    <x v="5"/>
    <s v="Metro"/>
    <x v="1"/>
    <n v="4"/>
    <s v="pack 24"/>
    <n v="13.68"/>
    <n v="54.72"/>
  </r>
  <r>
    <s v="FAC-5508"/>
    <s v="03/06/2024"/>
    <x v="5"/>
    <s v="Metro"/>
    <x v="2"/>
    <n v="4"/>
    <s v="kg"/>
    <n v="1.25"/>
    <n v="5"/>
  </r>
  <r>
    <s v="FAC-5509"/>
    <s v="03/06/2024"/>
    <x v="5"/>
    <s v="LEGUMEX"/>
    <x v="3"/>
    <n v="8"/>
    <s v="boite 3kg"/>
    <n v="4.2699999999999996"/>
    <n v="34.159999999999997"/>
  </r>
  <r>
    <s v="FAC-5510"/>
    <s v="03/06/2024"/>
    <x v="5"/>
    <s v="LEGUMEX"/>
    <x v="4"/>
    <n v="8"/>
    <s v="bidon 5L"/>
    <n v="22.55"/>
    <n v="180.4"/>
  </r>
  <r>
    <s v="FAC-5511"/>
    <s v="03/06/2024"/>
    <x v="5"/>
    <s v="LEGUMEX"/>
    <x v="5"/>
    <n v="6"/>
    <s v="seau 5kg"/>
    <n v="10.57"/>
    <n v="63.42"/>
  </r>
  <r>
    <s v="FAC-5512"/>
    <s v="04/06/2024"/>
    <x v="5"/>
    <s v="B. Halal Pro"/>
    <x v="6"/>
    <n v="12"/>
    <s v="kg"/>
    <n v="8.5"/>
    <n v="102"/>
  </r>
  <r>
    <s v="FAC-5513"/>
    <s v="04/06/2024"/>
    <x v="5"/>
    <s v="B. Halal Pro"/>
    <x v="7"/>
    <n v="10"/>
    <s v="kg"/>
    <n v="7.35"/>
    <n v="73.5"/>
  </r>
  <r>
    <s v="FAC-5514"/>
    <s v="04/06/2024"/>
    <x v="5"/>
    <s v="Boul. Express"/>
    <x v="8"/>
    <n v="12"/>
    <s v="paquet x12"/>
    <n v="6.02"/>
    <n v="72.239999999999995"/>
  </r>
  <r>
    <s v="FAC-5515"/>
    <s v="04/06/2024"/>
    <x v="5"/>
    <s v="Boul. Express"/>
    <x v="9"/>
    <n v="12"/>
    <s v="paquet x10"/>
    <n v="3.98"/>
    <n v="47.76"/>
  </r>
  <r>
    <s v="FAC-5516"/>
    <s v="05/06/2024"/>
    <x v="5"/>
    <s v="LEGUMEX"/>
    <x v="3"/>
    <n v="10"/>
    <s v="boite 3kg"/>
    <n v="4.09"/>
    <n v="40.9"/>
  </r>
  <r>
    <s v="FAC-5517"/>
    <s v="05/06/2024"/>
    <x v="5"/>
    <s v="LEGUMEX"/>
    <x v="4"/>
    <n v="6"/>
    <s v="bidon 5L"/>
    <n v="21.76"/>
    <n v="130.56"/>
  </r>
  <r>
    <s v="FAC-5518"/>
    <s v="05/06/2024"/>
    <x v="5"/>
    <s v="LEGUMEX"/>
    <x v="5"/>
    <n v="10"/>
    <s v="seau 5kg"/>
    <n v="10.029999999999999"/>
    <n v="100.3"/>
  </r>
  <r>
    <s v="FAC-5519"/>
    <s v="05/06/2024"/>
    <x v="5"/>
    <s v="Moulin du Nord"/>
    <x v="10"/>
    <n v="3"/>
    <s v="sac 25kg"/>
    <n v="18.41"/>
    <n v="55.230000000000004"/>
  </r>
  <r>
    <s v="FAC-5520"/>
    <s v="05/06/2024"/>
    <x v="5"/>
    <s v="Fromag. Centrale"/>
    <x v="11"/>
    <n v="8"/>
    <s v="kg"/>
    <n v="9.68"/>
    <n v="77.44"/>
  </r>
  <r>
    <s v="FAC-5521"/>
    <s v="06/06/2024"/>
    <x v="5"/>
    <s v="Metro"/>
    <x v="0"/>
    <n v="3"/>
    <s v="pack 24"/>
    <n v="14.32"/>
    <n v="42.96"/>
  </r>
  <r>
    <s v="FAC-5522"/>
    <s v="06/06/2024"/>
    <x v="5"/>
    <s v="Metro"/>
    <x v="1"/>
    <n v="3"/>
    <s v="pack 24"/>
    <n v="13.84"/>
    <n v="41.519999999999996"/>
  </r>
  <r>
    <s v="FAC-5523"/>
    <s v="06/06/2024"/>
    <x v="5"/>
    <s v="Metro"/>
    <x v="2"/>
    <n v="4"/>
    <s v="kg"/>
    <n v="1.22"/>
    <n v="4.88"/>
  </r>
  <r>
    <s v="FAC-5524"/>
    <s v="07/06/2024"/>
    <x v="5"/>
    <s v="B. Halal Pro"/>
    <x v="6"/>
    <n v="5"/>
    <s v="kg"/>
    <n v="9.0500000000000007"/>
    <n v="45.25"/>
  </r>
  <r>
    <s v="FAC-5525"/>
    <s v="07/06/2024"/>
    <x v="5"/>
    <s v="B. Halal Pro"/>
    <x v="7"/>
    <n v="5"/>
    <s v="kg"/>
    <n v="7.73"/>
    <n v="38.650000000000006"/>
  </r>
  <r>
    <s v="FAC-5526"/>
    <s v="07/06/2024"/>
    <x v="5"/>
    <s v="Boul. Express"/>
    <x v="8"/>
    <n v="8"/>
    <s v="paquet x12"/>
    <n v="6"/>
    <n v="48"/>
  </r>
  <r>
    <s v="FAC-5527"/>
    <s v="07/06/2024"/>
    <x v="5"/>
    <s v="Boul. Express"/>
    <x v="9"/>
    <n v="10"/>
    <s v="paquet x10"/>
    <n v="3.95"/>
    <n v="39.5"/>
  </r>
  <r>
    <s v="FAC-5528"/>
    <s v="08/06/2024"/>
    <x v="5"/>
    <s v="Fromag. Centrale"/>
    <x v="11"/>
    <n v="8"/>
    <s v="kg"/>
    <n v="8.81"/>
    <n v="70.48"/>
  </r>
  <r>
    <s v="FAC-5529"/>
    <s v="10/06/2024"/>
    <x v="5"/>
    <s v="Metro"/>
    <x v="0"/>
    <n v="6"/>
    <s v="pack 24"/>
    <n v="14.1"/>
    <n v="84.6"/>
  </r>
  <r>
    <s v="FAC-5530"/>
    <s v="10/06/2024"/>
    <x v="5"/>
    <s v="Metro"/>
    <x v="1"/>
    <n v="5"/>
    <s v="pack 24"/>
    <n v="13.89"/>
    <n v="69.45"/>
  </r>
  <r>
    <s v="FAC-5531"/>
    <s v="10/06/2024"/>
    <x v="5"/>
    <s v="Metro"/>
    <x v="2"/>
    <n v="3"/>
    <s v="kg"/>
    <n v="1.22"/>
    <n v="3.66"/>
  </r>
  <r>
    <s v="FAC-5532"/>
    <s v="10/06/2024"/>
    <x v="5"/>
    <s v="LEGUMEX"/>
    <x v="3"/>
    <n v="10"/>
    <s v="boite 3kg"/>
    <n v="4"/>
    <n v="40"/>
  </r>
  <r>
    <s v="FAC-5533"/>
    <s v="10/06/2024"/>
    <x v="5"/>
    <s v="LEGUMEX"/>
    <x v="4"/>
    <n v="10"/>
    <s v="bidon 5L"/>
    <n v="21.84"/>
    <n v="218.4"/>
  </r>
  <r>
    <s v="FAC-5534"/>
    <s v="10/06/2024"/>
    <x v="5"/>
    <s v="LEGUMEX"/>
    <x v="5"/>
    <n v="8"/>
    <s v="seau 5kg"/>
    <n v="9.9499999999999993"/>
    <n v="79.599999999999994"/>
  </r>
  <r>
    <s v="FAC-5535"/>
    <s v="11/06/2024"/>
    <x v="5"/>
    <s v="B. Halal Pro"/>
    <x v="6"/>
    <n v="10"/>
    <s v="kg"/>
    <n v="10.56"/>
    <n v="105.60000000000001"/>
  </r>
  <r>
    <s v="FAC-5536"/>
    <s v="11/06/2024"/>
    <x v="5"/>
    <s v="B. Halal Pro"/>
    <x v="7"/>
    <n v="12"/>
    <s v="kg"/>
    <n v="6.82"/>
    <n v="81.84"/>
  </r>
  <r>
    <s v="FAC-5537"/>
    <s v="11/06/2024"/>
    <x v="5"/>
    <s v="Boul. Express"/>
    <x v="8"/>
    <n v="5"/>
    <s v="paquet x12"/>
    <n v="5.87"/>
    <n v="29.35"/>
  </r>
  <r>
    <s v="FAC-5538"/>
    <s v="11/06/2024"/>
    <x v="5"/>
    <s v="Boul. Express"/>
    <x v="9"/>
    <n v="12"/>
    <s v="paquet x10"/>
    <n v="4"/>
    <n v="48"/>
  </r>
  <r>
    <s v="FAC-5539"/>
    <s v="12/06/2024"/>
    <x v="5"/>
    <s v="LEGUMEX"/>
    <x v="3"/>
    <m/>
    <s v="boite 3kg"/>
    <n v="4.03"/>
    <n v="0"/>
  </r>
  <r>
    <s v="FAC-5540"/>
    <s v="12/06/2024"/>
    <x v="5"/>
    <s v="LEGUMEX"/>
    <x v="4"/>
    <n v="10"/>
    <s v="bidon 5L"/>
    <n v="21.97"/>
    <n v="219.7"/>
  </r>
  <r>
    <s v="FAC-5541"/>
    <s v="12/06/2024"/>
    <x v="5"/>
    <s v="LEGUMEX"/>
    <x v="5"/>
    <m/>
    <s v="seau 5kg"/>
    <n v="9.32"/>
    <n v="0"/>
  </r>
  <r>
    <s v="FAC-5542"/>
    <s v="12/06/2024"/>
    <x v="5"/>
    <s v="Moulin du Nord"/>
    <x v="10"/>
    <m/>
    <s v="sac 25kg"/>
    <n v="18.649999999999999"/>
    <n v="0"/>
  </r>
  <r>
    <s v="FAC-5543"/>
    <s v="12/06/2024"/>
    <x v="5"/>
    <s v="Fromag. Centrale"/>
    <x v="11"/>
    <n v="6"/>
    <s v="kg"/>
    <n v="9.51"/>
    <n v="57.06"/>
  </r>
  <r>
    <s v="FAC-5544"/>
    <s v="13/06/2024"/>
    <x v="5"/>
    <s v="Metro"/>
    <x v="0"/>
    <n v="4"/>
    <s v="pack 24"/>
    <n v="14.28"/>
    <n v="57.12"/>
  </r>
  <r>
    <s v="FAC-5545"/>
    <s v="13/06/2024"/>
    <x v="5"/>
    <s v="Metro"/>
    <x v="1"/>
    <n v="5"/>
    <s v="pack 24"/>
    <n v="13.12"/>
    <n v="65.599999999999994"/>
  </r>
  <r>
    <s v="FAC-5546"/>
    <s v="13/06/2024"/>
    <x v="5"/>
    <s v="Metro"/>
    <x v="2"/>
    <n v="6"/>
    <s v="kg"/>
    <n v="1.21"/>
    <n v="7.26"/>
  </r>
  <r>
    <s v="FAC-5547"/>
    <s v="14/06/2024"/>
    <x v="5"/>
    <s v="B. Halal Pro"/>
    <x v="6"/>
    <n v="5"/>
    <s v="kg"/>
    <n v="9.0399999999999991"/>
    <n v="45.199999999999996"/>
  </r>
  <r>
    <s v="FAC-5548"/>
    <s v="14/06/2024"/>
    <x v="5"/>
    <s v="B. Halal Pro"/>
    <x v="7"/>
    <n v="10"/>
    <s v="kg"/>
    <n v="6.73"/>
    <n v="67.300000000000011"/>
  </r>
  <r>
    <s v="FAC-5549"/>
    <s v="14/06/2024"/>
    <x v="5"/>
    <s v="Boul. Express"/>
    <x v="8"/>
    <n v="5"/>
    <s v="paquet x12"/>
    <n v="5.7"/>
    <n v="28.5"/>
  </r>
  <r>
    <s v="FAC-5550"/>
    <s v="14/06/2024"/>
    <x v="5"/>
    <s v="Boul. Express"/>
    <x v="9"/>
    <n v="12"/>
    <s v="paquet x10"/>
    <n v="3.94"/>
    <n v="47.28"/>
  </r>
  <r>
    <s v="FAC-5551"/>
    <s v="15/06/2024"/>
    <x v="5"/>
    <s v="Fromag. Centrale"/>
    <x v="11"/>
    <n v="4"/>
    <s v="kg"/>
    <n v="9.17"/>
    <n v="36.68"/>
  </r>
  <r>
    <s v="FAC-5552"/>
    <s v="17/06/2024"/>
    <x v="5"/>
    <s v="Metro"/>
    <x v="0"/>
    <n v="4"/>
    <s v="pack 24"/>
    <n v="14.24"/>
    <n v="56.96"/>
  </r>
  <r>
    <s v="FAC-5553"/>
    <s v="17/06/2024"/>
    <x v="5"/>
    <s v="Metro"/>
    <x v="1"/>
    <n v="6"/>
    <s v="pack 24"/>
    <n v="13.13"/>
    <n v="78.78"/>
  </r>
  <r>
    <s v="FAC-5554"/>
    <s v="17/06/2024"/>
    <x v="5"/>
    <s v="Metro"/>
    <x v="2"/>
    <n v="3"/>
    <s v="kg"/>
    <n v="1.18"/>
    <n v="3.54"/>
  </r>
  <r>
    <s v="FAC-5555"/>
    <s v="17/06/2024"/>
    <x v="5"/>
    <s v="LEGUMEX"/>
    <x v="3"/>
    <n v="6"/>
    <s v="boite 3kg"/>
    <n v="4.51"/>
    <n v="27.06"/>
  </r>
  <r>
    <s v="FAC-5556"/>
    <s v="17/06/2024"/>
    <x v="5"/>
    <s v="LEGUMEX"/>
    <x v="4"/>
    <n v="8"/>
    <s v="bidon 5L"/>
    <n v="23.56"/>
    <n v="188.48"/>
  </r>
  <r>
    <s v="FAC-5557"/>
    <s v="17/06/2024"/>
    <x v="5"/>
    <s v="LEGUMEX"/>
    <x v="5"/>
    <n v="10"/>
    <s v="seau 5kg"/>
    <n v="10.029999999999999"/>
    <n v="100.3"/>
  </r>
  <r>
    <s v="FAC-5558"/>
    <s v="18/06/2024"/>
    <x v="5"/>
    <s v="B. Halal Pro"/>
    <x v="6"/>
    <n v="6"/>
    <s v="kg"/>
    <n v="9.24"/>
    <n v="55.44"/>
  </r>
  <r>
    <s v="FAC-5559"/>
    <s v="18/06/2024"/>
    <x v="5"/>
    <s v="B. Halal Pro"/>
    <x v="7"/>
    <n v="8"/>
    <s v="kg"/>
    <n v="7.2"/>
    <n v="57.6"/>
  </r>
  <r>
    <s v="FAC-5560"/>
    <s v="18/06/2024"/>
    <x v="5"/>
    <s v="Boul. Express"/>
    <x v="8"/>
    <n v="5"/>
    <s v="paquet x12"/>
    <n v="5.76"/>
    <n v="28.799999999999997"/>
  </r>
  <r>
    <s v="FAC-5561"/>
    <s v="18/06/2024"/>
    <x v="5"/>
    <s v="Boul. Express"/>
    <x v="9"/>
    <n v="10"/>
    <s v="paquet x10"/>
    <n v="4.05"/>
    <n v="40.5"/>
  </r>
  <r>
    <s v="FAC-5562"/>
    <s v="19/06/2024"/>
    <x v="5"/>
    <s v="LEGUMEX"/>
    <x v="3"/>
    <n v="10"/>
    <s v="boite 3kg"/>
    <n v="4.42"/>
    <n v="44.2"/>
  </r>
  <r>
    <s v="FAC-5563"/>
    <s v="19/06/2024"/>
    <x v="5"/>
    <s v="LEGUMEX"/>
    <x v="4"/>
    <n v="10"/>
    <s v="bidon 5L"/>
    <n v="22.48"/>
    <n v="224.8"/>
  </r>
  <r>
    <s v="FAC-5564"/>
    <s v="19/06/2024"/>
    <x v="5"/>
    <s v="LEGUMEX"/>
    <x v="5"/>
    <n v="8"/>
    <s v="seau 5kg"/>
    <n v="9.42"/>
    <n v="75.36"/>
  </r>
  <r>
    <s v="FAC-5565"/>
    <s v="19/06/2024"/>
    <x v="5"/>
    <s v="Moulin du Nord"/>
    <x v="10"/>
    <n v="2"/>
    <s v="sac 25kg"/>
    <n v="17.899999999999999"/>
    <n v="35.799999999999997"/>
  </r>
  <r>
    <s v="FAC-5566"/>
    <s v="19/06/2024"/>
    <x v="5"/>
    <s v="Fromag. Centrale"/>
    <x v="11"/>
    <n v="8"/>
    <s v="kg"/>
    <n v="9.42"/>
    <n v="75.36"/>
  </r>
  <r>
    <s v="FAC-5567"/>
    <s v="20/06/2024"/>
    <x v="5"/>
    <s v="Metro"/>
    <x v="0"/>
    <n v="3"/>
    <s v="pack 24"/>
    <n v="15.19"/>
    <n v="45.57"/>
  </r>
  <r>
    <s v="FAC-5568"/>
    <s v="20/06/2024"/>
    <x v="5"/>
    <s v="Metro"/>
    <x v="1"/>
    <n v="3"/>
    <s v="pack 24"/>
    <n v="12.96"/>
    <n v="38.880000000000003"/>
  </r>
  <r>
    <s v="FAC-5569"/>
    <s v="20/06/2024"/>
    <x v="5"/>
    <s v="Metro"/>
    <x v="2"/>
    <n v="6"/>
    <s v="kg"/>
    <n v="1.18"/>
    <n v="7.08"/>
  </r>
  <r>
    <s v="FAC-5570"/>
    <s v="21/06/2024"/>
    <x v="5"/>
    <s v="B. Halal Pro"/>
    <x v="6"/>
    <n v="8"/>
    <s v="kg"/>
    <n v="9.7200000000000006"/>
    <n v="77.760000000000005"/>
  </r>
  <r>
    <s v="FAC-5571"/>
    <s v="21/06/2024"/>
    <x v="5"/>
    <s v="B. Halal Pro"/>
    <x v="7"/>
    <n v="10"/>
    <s v="kg"/>
    <n v="6.96"/>
    <n v="69.599999999999994"/>
  </r>
  <r>
    <s v="FAC-5572"/>
    <s v="21/06/2024"/>
    <x v="5"/>
    <s v="Boul. Express"/>
    <x v="8"/>
    <n v="8"/>
    <s v="paquet x12"/>
    <n v="5.88"/>
    <n v="47.04"/>
  </r>
  <r>
    <s v="FAC-5573"/>
    <s v="21/06/2024"/>
    <x v="5"/>
    <s v="Boul. Express"/>
    <x v="9"/>
    <n v="10"/>
    <s v="paquet x10"/>
    <n v="3.85"/>
    <n v="38.5"/>
  </r>
  <r>
    <s v="FAC-5574"/>
    <s v="22/06/2024"/>
    <x v="5"/>
    <s v="Fromag. Centrale"/>
    <x v="11"/>
    <n v="10"/>
    <s v="kg"/>
    <n v="8.4600000000000009"/>
    <n v="84.600000000000009"/>
  </r>
  <r>
    <s v="FAC-5575"/>
    <s v="24/06/2024"/>
    <x v="5"/>
    <s v="Metro"/>
    <x v="0"/>
    <n v="6"/>
    <s v="pack 24"/>
    <n v="14.98"/>
    <n v="89.88"/>
  </r>
  <r>
    <s v="FAC-5576"/>
    <s v="24/06/2024"/>
    <x v="5"/>
    <s v="Metro"/>
    <x v="1"/>
    <n v="6"/>
    <s v="pack 24"/>
    <n v="13.51"/>
    <n v="81.06"/>
  </r>
  <r>
    <s v="FAC-5577"/>
    <s v="24/06/2024"/>
    <x v="5"/>
    <s v="Metro"/>
    <x v="2"/>
    <n v="4"/>
    <s v="kg"/>
    <n v="1.2"/>
    <n v="4.8"/>
  </r>
  <r>
    <s v="FAC-5578"/>
    <s v="24/06/2024"/>
    <x v="5"/>
    <s v="LEGUMEX"/>
    <x v="3"/>
    <n v="10"/>
    <s v="boite 3kg"/>
    <n v="4.45"/>
    <n v="44.5"/>
  </r>
  <r>
    <s v="FAC-5579"/>
    <s v="24/06/2024"/>
    <x v="5"/>
    <s v="LEGUMEX"/>
    <x v="4"/>
    <n v="10"/>
    <s v="bidon 5L"/>
    <n v="22.16"/>
    <n v="221.6"/>
  </r>
  <r>
    <s v="FAC-5580"/>
    <s v="24/06/2024"/>
    <x v="5"/>
    <s v="LEGUMEX"/>
    <x v="5"/>
    <n v="6"/>
    <s v="seau 5kg"/>
    <n v="9.69"/>
    <n v="58.14"/>
  </r>
  <r>
    <s v="FAC-5581"/>
    <s v="25/06/2024"/>
    <x v="5"/>
    <s v="B. Halal Pro"/>
    <x v="6"/>
    <n v="8"/>
    <s v="kg"/>
    <n v="10.56"/>
    <n v="84.48"/>
  </r>
  <r>
    <s v="FAC-5582"/>
    <s v="25/06/2024"/>
    <x v="5"/>
    <s v="B. Halal Pro"/>
    <x v="7"/>
    <n v="6"/>
    <s v="kg"/>
    <n v="7.74"/>
    <n v="46.44"/>
  </r>
  <r>
    <s v="FAC-5583"/>
    <s v="25/06/2024"/>
    <x v="5"/>
    <s v="Boul. Express"/>
    <x v="8"/>
    <n v="12"/>
    <s v="paquet x12"/>
    <n v="5.97"/>
    <n v="71.64"/>
  </r>
  <r>
    <s v="FAC-5584"/>
    <s v="25/06/2024"/>
    <x v="5"/>
    <s v="Boul. Express"/>
    <x v="9"/>
    <n v="8"/>
    <s v="paquet x10"/>
    <n v="3.96"/>
    <n v="31.68"/>
  </r>
  <r>
    <s v="FAC-5585"/>
    <s v="26/06/2024"/>
    <x v="5"/>
    <s v="LEGUMEX"/>
    <x v="3"/>
    <n v="10"/>
    <s v="boite 3kg"/>
    <n v="4.51"/>
    <n v="45.099999999999994"/>
  </r>
  <r>
    <s v="FAC-5586"/>
    <s v="26/06/2024"/>
    <x v="5"/>
    <s v="LEGUMEX"/>
    <x v="4"/>
    <n v="8"/>
    <s v="bidon 5L"/>
    <n v="22.15"/>
    <n v="177.2"/>
  </r>
  <r>
    <s v="FAC-5587"/>
    <s v="26/06/2024"/>
    <x v="5"/>
    <s v="LEGUMEX"/>
    <x v="5"/>
    <n v="10"/>
    <s v="seau 5kg"/>
    <n v="10.35"/>
    <n v="103.5"/>
  </r>
  <r>
    <s v="FAC-5588"/>
    <s v="26/06/2024"/>
    <x v="5"/>
    <s v="Moulin du Nord"/>
    <x v="10"/>
    <n v="2"/>
    <s v="sac 25kg"/>
    <n v="18.809999999999999"/>
    <n v="37.619999999999997"/>
  </r>
  <r>
    <s v="FAC-5589"/>
    <s v="26/06/2024"/>
    <x v="5"/>
    <s v="Fromag. Centrale"/>
    <x v="11"/>
    <n v="10"/>
    <s v="kg"/>
    <n v="9.3800000000000008"/>
    <n v="93.800000000000011"/>
  </r>
  <r>
    <s v="FAC-5590"/>
    <s v="27/06/2024"/>
    <x v="5"/>
    <s v="Metro"/>
    <x v="0"/>
    <n v="6"/>
    <s v="pack 24"/>
    <n v="14.72"/>
    <n v="88.320000000000007"/>
  </r>
  <r>
    <s v="FAC-5591"/>
    <s v="27/06/2024"/>
    <x v="5"/>
    <s v="Metro"/>
    <x v="1"/>
    <n v="3"/>
    <s v="pack 24"/>
    <n v="13.74"/>
    <n v="41.22"/>
  </r>
  <r>
    <s v="FAC-5592"/>
    <s v="27/06/2024"/>
    <x v="5"/>
    <s v="Metro"/>
    <x v="2"/>
    <n v="3"/>
    <s v="kg"/>
    <n v="1.18"/>
    <n v="3.54"/>
  </r>
  <r>
    <s v="FAC-5593"/>
    <s v="28/06/2024"/>
    <x v="5"/>
    <s v="B. Halal Pro"/>
    <x v="6"/>
    <n v="12"/>
    <s v="kg"/>
    <n v="8.74"/>
    <n v="104.88"/>
  </r>
  <r>
    <s v="FAC-5594"/>
    <s v="28/06/2024"/>
    <x v="5"/>
    <s v="B. Halal Pro"/>
    <x v="7"/>
    <n v="8"/>
    <s v="kg"/>
    <n v="7.74"/>
    <n v="61.92"/>
  </r>
  <r>
    <s v="FAC-5595"/>
    <s v="28/06/2024"/>
    <x v="5"/>
    <s v="Boul. Express"/>
    <x v="8"/>
    <n v="5"/>
    <s v="paquet x12"/>
    <n v="5.72"/>
    <n v="28.599999999999998"/>
  </r>
  <r>
    <s v="FAC-5596"/>
    <s v="28/06/2024"/>
    <x v="5"/>
    <s v="Boul. Express"/>
    <x v="9"/>
    <n v="12"/>
    <s v="paquet x10"/>
    <n v="3.93"/>
    <n v="47.160000000000004"/>
  </r>
  <r>
    <s v="FAC-5597"/>
    <s v="29/06/2024"/>
    <x v="5"/>
    <s v="Fromag. Centrale"/>
    <x v="11"/>
    <n v="4"/>
    <s v="kg"/>
    <n v="8.86"/>
    <n v="35.44"/>
  </r>
  <r>
    <s v="FAC-5598"/>
    <s v="01/07/2024"/>
    <x v="6"/>
    <s v="Metro"/>
    <x v="0"/>
    <n v="6"/>
    <s v="pack 24"/>
    <n v="15.16"/>
    <n v="90.960000000000008"/>
  </r>
  <r>
    <s v="FAC-5599"/>
    <s v="01/07/2024"/>
    <x v="6"/>
    <s v="Metro"/>
    <x v="1"/>
    <n v="5"/>
    <s v="pack 24"/>
    <n v="13.17"/>
    <n v="65.849999999999994"/>
  </r>
  <r>
    <s v="FAC-5600"/>
    <s v="01/07/2024"/>
    <x v="6"/>
    <s v="Metro"/>
    <x v="2"/>
    <n v="6"/>
    <s v="kg"/>
    <n v="1.2"/>
    <n v="7.1999999999999993"/>
  </r>
  <r>
    <s v="FAC-5601"/>
    <s v="01/07/2024"/>
    <x v="6"/>
    <s v="LEGUMEX"/>
    <x v="3"/>
    <n v="8"/>
    <s v="boite 3kg"/>
    <n v="4.16"/>
    <n v="33.28"/>
  </r>
  <r>
    <s v="FAC-5602"/>
    <s v="01/07/2024"/>
    <x v="6"/>
    <s v="LEGUMEX"/>
    <x v="4"/>
    <n v="8"/>
    <s v="bidon 5L"/>
    <n v="20.96"/>
    <n v="167.68"/>
  </r>
  <r>
    <s v="FAC-5603"/>
    <s v="01/07/2024"/>
    <x v="6"/>
    <s v="LEGUMEX"/>
    <x v="5"/>
    <n v="6"/>
    <s v="seau 5kg"/>
    <n v="10.49"/>
    <n v="62.94"/>
  </r>
  <r>
    <s v="FAC-5604"/>
    <s v="02/07/2024"/>
    <x v="6"/>
    <s v="B. Halal Pro"/>
    <x v="6"/>
    <n v="10"/>
    <s v="kg"/>
    <n v="9.11"/>
    <n v="91.1"/>
  </r>
  <r>
    <s v="FAC-5605"/>
    <s v="02/07/2024"/>
    <x v="6"/>
    <s v="B. Halal Pro"/>
    <x v="7"/>
    <n v="6"/>
    <s v="kg"/>
    <n v="7.54"/>
    <n v="45.24"/>
  </r>
  <r>
    <s v="FAC-5606"/>
    <s v="02/07/2024"/>
    <x v="6"/>
    <s v="Boul. Express"/>
    <x v="8"/>
    <n v="8"/>
    <s v="paquet x12"/>
    <n v="5.82"/>
    <n v="46.56"/>
  </r>
  <r>
    <s v="FAC-5607"/>
    <s v="02/07/2024"/>
    <x v="6"/>
    <s v="Boul. Express"/>
    <x v="9"/>
    <n v="8"/>
    <s v="paquet x10"/>
    <n v="3.91"/>
    <n v="31.28"/>
  </r>
  <r>
    <s v="FAC-5608"/>
    <s v="03/07/2024"/>
    <x v="6"/>
    <s v="LEGUMEX"/>
    <x v="3"/>
    <n v="6"/>
    <s v="boite 3kg"/>
    <n v="4.3099999999999996"/>
    <n v="25.86"/>
  </r>
  <r>
    <s v="FAC-5609"/>
    <s v="03/07/2024"/>
    <x v="6"/>
    <s v="LEGUMEX"/>
    <x v="4"/>
    <n v="8"/>
    <s v="bidon 5L"/>
    <n v="22.21"/>
    <n v="177.68"/>
  </r>
  <r>
    <s v="FAC-5610"/>
    <s v="03/07/2024"/>
    <x v="6"/>
    <s v="LEGUMEX"/>
    <x v="5"/>
    <n v="8"/>
    <s v="seau 5kg"/>
    <n v="9.98"/>
    <n v="79.84"/>
  </r>
  <r>
    <s v="FAC-5611"/>
    <s v="03/07/2024"/>
    <x v="6"/>
    <s v="Moulin du Nord"/>
    <x v="10"/>
    <n v="3"/>
    <s v="sac 25kg"/>
    <n v="18.739999999999998"/>
    <n v="56.22"/>
  </r>
  <r>
    <s v="FAC-5612"/>
    <s v="03/07/2024"/>
    <x v="6"/>
    <s v="Fromag. Centrale"/>
    <x v="11"/>
    <n v="8"/>
    <s v="kg"/>
    <n v="9.25"/>
    <n v="74"/>
  </r>
  <r>
    <s v="FAC-5613"/>
    <s v="04/07/2024"/>
    <x v="6"/>
    <s v="Metro"/>
    <x v="0"/>
    <n v="3"/>
    <s v="pack 24"/>
    <n v="14.84"/>
    <n v="44.519999999999996"/>
  </r>
  <r>
    <s v="FAC-5614"/>
    <s v="04/07/2024"/>
    <x v="6"/>
    <s v="Metro"/>
    <x v="1"/>
    <n v="5"/>
    <s v="pack 24"/>
    <n v="12.94"/>
    <n v="64.7"/>
  </r>
  <r>
    <s v="FAC-5615"/>
    <s v="04/07/2024"/>
    <x v="6"/>
    <s v="Metro"/>
    <x v="2"/>
    <n v="6"/>
    <s v="kg"/>
    <n v="1.21"/>
    <n v="7.26"/>
  </r>
  <r>
    <s v="FAC-5616"/>
    <s v="05/07/2024"/>
    <x v="6"/>
    <s v="B. Halal Pro"/>
    <x v="6"/>
    <n v="10"/>
    <s v="kg"/>
    <n v="9.32"/>
    <n v="93.2"/>
  </r>
  <r>
    <s v="FAC-5617"/>
    <s v="05/07/2024"/>
    <x v="6"/>
    <s v="B. Halal Pro"/>
    <x v="7"/>
    <n v="10"/>
    <s v="kg"/>
    <n v="7.26"/>
    <n v="72.599999999999994"/>
  </r>
  <r>
    <s v="FAC-5618"/>
    <s v="05/07/2024"/>
    <x v="6"/>
    <s v="Boul. Express"/>
    <x v="8"/>
    <n v="12"/>
    <s v="paquet x12"/>
    <n v="5.79"/>
    <n v="69.48"/>
  </r>
  <r>
    <s v="FAC-5619"/>
    <s v="05/07/2024"/>
    <x v="6"/>
    <s v="Boul. Express"/>
    <x v="9"/>
    <n v="12"/>
    <s v="paquet x10"/>
    <n v="4.04"/>
    <n v="48.480000000000004"/>
  </r>
  <r>
    <s v="FAC-5620"/>
    <s v="06/07/2024"/>
    <x v="6"/>
    <s v="Fromag. Centrale"/>
    <x v="11"/>
    <n v="10"/>
    <s v="kg"/>
    <n v="9.74"/>
    <n v="97.4"/>
  </r>
  <r>
    <s v="FAC-5621"/>
    <s v="08/07/2024"/>
    <x v="6"/>
    <s v="Metro"/>
    <x v="0"/>
    <n v="6"/>
    <s v="pack 24"/>
    <n v="14.89"/>
    <n v="89.34"/>
  </r>
  <r>
    <s v="FAC-5622"/>
    <s v="08/07/2024"/>
    <x v="6"/>
    <s v="Metro"/>
    <x v="1"/>
    <n v="3"/>
    <s v="pack 24"/>
    <n v="13.48"/>
    <n v="40.44"/>
  </r>
  <r>
    <s v="FAC-5623"/>
    <s v="08/07/2024"/>
    <x v="6"/>
    <s v="Metro"/>
    <x v="2"/>
    <n v="5"/>
    <s v="kg"/>
    <n v="1.17"/>
    <n v="5.85"/>
  </r>
  <r>
    <s v="FAC-5624"/>
    <s v="08/07/2024"/>
    <x v="6"/>
    <s v="LEGUMEX"/>
    <x v="3"/>
    <n v="10"/>
    <s v="boite 3kg"/>
    <n v="4.08"/>
    <n v="40.799999999999997"/>
  </r>
  <r>
    <s v="FAC-5625"/>
    <s v="08/07/2024"/>
    <x v="6"/>
    <s v="LEGUMEX"/>
    <x v="4"/>
    <n v="4"/>
    <s v="bidon 5L"/>
    <n v="22.47"/>
    <n v="89.88"/>
  </r>
  <r>
    <s v="FAC-5626"/>
    <s v="08/07/2024"/>
    <x v="6"/>
    <s v="LEGUMEX"/>
    <x v="5"/>
    <n v="8"/>
    <s v="seau 5kg"/>
    <n v="10.3"/>
    <n v="82.4"/>
  </r>
  <r>
    <s v="FAC-5627"/>
    <s v="09/07/2024"/>
    <x v="6"/>
    <s v="B. Halal Pro"/>
    <x v="6"/>
    <n v="10"/>
    <s v="kg"/>
    <n v="10.09"/>
    <n v="100.9"/>
  </r>
  <r>
    <s v="FAC-5628"/>
    <s v="09/07/2024"/>
    <x v="6"/>
    <s v="B. Halal Pro"/>
    <x v="7"/>
    <n v="6"/>
    <s v="kg"/>
    <n v="6.74"/>
    <n v="40.44"/>
  </r>
  <r>
    <s v="FAC-5629"/>
    <s v="09/07/2024"/>
    <x v="6"/>
    <s v="Boul. Express"/>
    <x v="8"/>
    <n v="10"/>
    <s v="paquet x12"/>
    <n v="5.84"/>
    <n v="58.4"/>
  </r>
  <r>
    <s v="FAC-5630"/>
    <s v="09/07/2024"/>
    <x v="6"/>
    <s v="Boul. Express"/>
    <x v="9"/>
    <n v="5"/>
    <s v="paquet x10"/>
    <n v="3.92"/>
    <n v="19.600000000000001"/>
  </r>
  <r>
    <s v="FAC-5631"/>
    <s v="10/07/2024"/>
    <x v="6"/>
    <s v="LEGUMEX"/>
    <x v="3"/>
    <n v="8"/>
    <s v="boite 3kg"/>
    <n v="4.0999999999999996"/>
    <n v="32.799999999999997"/>
  </r>
  <r>
    <s v="FAC-5632"/>
    <s v="10/07/2024"/>
    <x v="6"/>
    <s v="LEGUMEX"/>
    <x v="4"/>
    <n v="6"/>
    <s v="bidon 5L"/>
    <n v="21.37"/>
    <n v="128.22"/>
  </r>
  <r>
    <s v="FAC-5633"/>
    <s v="10/07/2024"/>
    <x v="6"/>
    <s v="LEGUMEX"/>
    <x v="5"/>
    <n v="8"/>
    <s v="seau 5kg"/>
    <n v="10.34"/>
    <n v="82.72"/>
  </r>
  <r>
    <s v="FAC-5634"/>
    <s v="10/07/2024"/>
    <x v="6"/>
    <s v="Moulin du Nord"/>
    <x v="10"/>
    <n v="4"/>
    <s v="sac 25kg"/>
    <n v="18.3"/>
    <n v="73.2"/>
  </r>
  <r>
    <s v="FAC-5635"/>
    <s v="10/07/2024"/>
    <x v="6"/>
    <s v="Fromag. Centrale"/>
    <x v="11"/>
    <n v="4"/>
    <s v="kg"/>
    <n v="9.7200000000000006"/>
    <n v="38.880000000000003"/>
  </r>
  <r>
    <s v="FAC-5636"/>
    <s v="11/07/2024"/>
    <x v="6"/>
    <s v="Metro"/>
    <x v="0"/>
    <n v="3"/>
    <s v="pack 24"/>
    <n v="15.25"/>
    <n v="45.75"/>
  </r>
  <r>
    <s v="FAC-5637"/>
    <s v="11/07/2024"/>
    <x v="6"/>
    <s v="Metro"/>
    <x v="1"/>
    <n v="4"/>
    <s v="pack 24"/>
    <n v="13.1"/>
    <n v="52.4"/>
  </r>
  <r>
    <s v="FAC-5638"/>
    <s v="11/07/2024"/>
    <x v="6"/>
    <s v="Metro"/>
    <x v="2"/>
    <n v="6"/>
    <s v="kg"/>
    <n v="1.22"/>
    <n v="7.32"/>
  </r>
  <r>
    <s v="FAC-5639"/>
    <s v="12/07/2024"/>
    <x v="6"/>
    <s v="B. Halal Pro"/>
    <x v="6"/>
    <n v="10"/>
    <s v="kg"/>
    <n v="9.7899999999999991"/>
    <n v="97.899999999999991"/>
  </r>
  <r>
    <s v="FAC-5640"/>
    <s v="12/07/2024"/>
    <x v="6"/>
    <s v="B. Halal Pro"/>
    <x v="7"/>
    <n v="8"/>
    <s v="kg"/>
    <n v="7.09"/>
    <n v="56.72"/>
  </r>
  <r>
    <s v="FAC-5641"/>
    <s v="12/07/2024"/>
    <x v="6"/>
    <s v="Boul. Express"/>
    <x v="8"/>
    <n v="12"/>
    <s v="paquet x12"/>
    <n v="5.84"/>
    <n v="70.08"/>
  </r>
  <r>
    <s v="FAC-5642"/>
    <s v="12/07/2024"/>
    <x v="6"/>
    <s v="Boul. Express"/>
    <x v="9"/>
    <n v="5"/>
    <s v="paquet x10"/>
    <n v="4.03"/>
    <n v="20.150000000000002"/>
  </r>
  <r>
    <s v="FAC-5643"/>
    <s v="13/07/2024"/>
    <x v="6"/>
    <s v="Fromag. Centrale"/>
    <x v="11"/>
    <n v="8"/>
    <s v="kg"/>
    <n v="9.27"/>
    <n v="74.16"/>
  </r>
  <r>
    <s v="FAC-5644"/>
    <s v="15/07/2024"/>
    <x v="6"/>
    <s v="Metro"/>
    <x v="0"/>
    <n v="6"/>
    <s v="pack 24"/>
    <n v="14.25"/>
    <n v="85.5"/>
  </r>
  <r>
    <s v="FAC-5645"/>
    <s v="15/07/2024"/>
    <x v="6"/>
    <s v="Metro"/>
    <x v="1"/>
    <n v="6"/>
    <s v="pack 24"/>
    <n v="13.12"/>
    <n v="78.72"/>
  </r>
  <r>
    <s v="FAC-5646"/>
    <s v="15/07/2024"/>
    <x v="6"/>
    <s v="Metro"/>
    <x v="2"/>
    <n v="4"/>
    <s v="kg"/>
    <n v="1.23"/>
    <n v="4.92"/>
  </r>
  <r>
    <s v="FAC-5647"/>
    <s v="15/07/2024"/>
    <x v="6"/>
    <s v="LEGUMEX"/>
    <x v="3"/>
    <n v="4"/>
    <s v="boite 3kg"/>
    <n v="4.4800000000000004"/>
    <n v="17.920000000000002"/>
  </r>
  <r>
    <s v="FAC-5648"/>
    <s v="15/07/2024"/>
    <x v="6"/>
    <s v="LEGUMEX"/>
    <x v="4"/>
    <n v="6"/>
    <s v="bidon 5L"/>
    <n v="20.95"/>
    <n v="125.69999999999999"/>
  </r>
  <r>
    <s v="FAC-5649"/>
    <s v="15/07/2024"/>
    <x v="6"/>
    <s v="LEGUMEX"/>
    <x v="5"/>
    <n v="10"/>
    <s v="seau 5kg"/>
    <n v="10.57"/>
    <n v="105.7"/>
  </r>
  <r>
    <s v="FAC-5650"/>
    <s v="16/07/2024"/>
    <x v="6"/>
    <s v="B. Halal Pro"/>
    <x v="6"/>
    <n v="8"/>
    <s v="kg"/>
    <n v="10.37"/>
    <n v="82.96"/>
  </r>
  <r>
    <s v="FAC-5651"/>
    <s v="16/07/2024"/>
    <x v="6"/>
    <s v="B. Halal Pro"/>
    <x v="7"/>
    <n v="8"/>
    <s v="kg"/>
    <n v="6.73"/>
    <n v="53.84"/>
  </r>
  <r>
    <s v="FAC-5652"/>
    <s v="16/07/2024"/>
    <x v="6"/>
    <s v="Boul. Express"/>
    <x v="8"/>
    <n v="8"/>
    <s v="paquet x12"/>
    <n v="5.92"/>
    <n v="47.36"/>
  </r>
  <r>
    <s v="FAC-5653"/>
    <s v="16/07/2024"/>
    <x v="6"/>
    <s v="Boul. Express"/>
    <x v="9"/>
    <n v="8"/>
    <s v="paquet x10"/>
    <n v="3.99"/>
    <n v="31.92"/>
  </r>
  <r>
    <s v="FAC-5654"/>
    <s v="17/07/2024"/>
    <x v="6"/>
    <s v="LEGUMEX"/>
    <x v="3"/>
    <n v="4"/>
    <s v="boite 3kg"/>
    <n v="4.37"/>
    <n v="17.48"/>
  </r>
  <r>
    <s v="FAC-5655"/>
    <s v="17/07/2024"/>
    <x v="6"/>
    <s v="LEGUMEX"/>
    <x v="4"/>
    <n v="6"/>
    <s v="bidon 5L"/>
    <n v="21.28"/>
    <n v="127.68"/>
  </r>
  <r>
    <s v="FAC-5656"/>
    <s v="17/07/2024"/>
    <x v="6"/>
    <s v="LEGUMEX"/>
    <x v="5"/>
    <n v="8"/>
    <s v="seau 5kg"/>
    <n v="9.32"/>
    <n v="74.56"/>
  </r>
  <r>
    <s v="FAC-5657"/>
    <s v="17/07/2024"/>
    <x v="6"/>
    <s v="Moulin du Nord"/>
    <x v="10"/>
    <n v="3"/>
    <s v="sac 25kg"/>
    <n v="18.920000000000002"/>
    <n v="56.760000000000005"/>
  </r>
  <r>
    <s v="FAC-5658"/>
    <s v="17/07/2024"/>
    <x v="6"/>
    <s v="Fromag. Centrale"/>
    <x v="11"/>
    <n v="4"/>
    <s v="kg"/>
    <n v="8.49"/>
    <n v="33.96"/>
  </r>
  <r>
    <s v="FAC-5659"/>
    <s v="18/07/2024"/>
    <x v="6"/>
    <s v="Metro"/>
    <x v="0"/>
    <n v="5"/>
    <s v="pack 24"/>
    <n v="14.15"/>
    <n v="70.75"/>
  </r>
  <r>
    <s v="FAC-5660"/>
    <s v="18/07/2024"/>
    <x v="6"/>
    <s v="Metro"/>
    <x v="1"/>
    <n v="4"/>
    <s v="pack 24"/>
    <n v="12.89"/>
    <n v="51.56"/>
  </r>
  <r>
    <s v="FAC-5661"/>
    <s v="18/07/2024"/>
    <x v="6"/>
    <s v="Metro"/>
    <x v="2"/>
    <n v="4"/>
    <s v="kg"/>
    <n v="1.21"/>
    <n v="4.84"/>
  </r>
  <r>
    <s v="FAC-5662"/>
    <s v="19/07/2024"/>
    <x v="6"/>
    <s v="B. Halal Pro"/>
    <x v="6"/>
    <n v="12"/>
    <s v="kg"/>
    <n v="10.46"/>
    <n v="125.52000000000001"/>
  </r>
  <r>
    <s v="FAC-5663"/>
    <s v="19/07/2024"/>
    <x v="6"/>
    <s v="B. Halal Pro"/>
    <x v="7"/>
    <n v="5"/>
    <s v="kg"/>
    <n v="6.72"/>
    <n v="33.6"/>
  </r>
  <r>
    <s v="FAC-5664"/>
    <s v="19/07/2024"/>
    <x v="6"/>
    <s v="Boul. Express"/>
    <x v="8"/>
    <n v="12"/>
    <s v="paquet x12"/>
    <n v="5.89"/>
    <n v="70.679999999999993"/>
  </r>
  <r>
    <s v="FAC-5665"/>
    <s v="19/07/2024"/>
    <x v="6"/>
    <s v="Boul. Express"/>
    <x v="9"/>
    <n v="8"/>
    <s v="paquet x10"/>
    <n v="3.9"/>
    <n v="31.2"/>
  </r>
  <r>
    <s v="FAC-5666"/>
    <s v="20/07/2024"/>
    <x v="6"/>
    <s v="Fromag. Centrale"/>
    <x v="11"/>
    <n v="8"/>
    <s v="kg"/>
    <n v="8.7200000000000006"/>
    <n v="69.760000000000005"/>
  </r>
  <r>
    <s v="FAC-5667"/>
    <s v="22/07/2024"/>
    <x v="6"/>
    <s v="Metro"/>
    <x v="0"/>
    <n v="5"/>
    <s v="pack 24"/>
    <n v="14.23"/>
    <n v="71.150000000000006"/>
  </r>
  <r>
    <s v="FAC-5668"/>
    <s v="22/07/2024"/>
    <x v="6"/>
    <s v="Metro"/>
    <x v="1"/>
    <n v="6"/>
    <s v="pack 24"/>
    <n v="13.16"/>
    <n v="78.960000000000008"/>
  </r>
  <r>
    <s v="FAC-5669"/>
    <s v="22/07/2024"/>
    <x v="6"/>
    <s v="Metro"/>
    <x v="2"/>
    <n v="6"/>
    <s v="kg"/>
    <n v="1.21"/>
    <n v="7.26"/>
  </r>
  <r>
    <s v="FAC-5670"/>
    <s v="22/07/2024"/>
    <x v="6"/>
    <s v="LEGUMEX"/>
    <x v="3"/>
    <n v="4"/>
    <s v="boite 3kg"/>
    <n v="4.28"/>
    <n v="17.12"/>
  </r>
  <r>
    <s v="FAC-5671"/>
    <s v="22/07/2024"/>
    <x v="6"/>
    <s v="LEGUMEX"/>
    <x v="4"/>
    <n v="10"/>
    <s v="bidon 5L"/>
    <n v="21.28"/>
    <n v="212.8"/>
  </r>
  <r>
    <s v="FAC-5672"/>
    <s v="22/07/2024"/>
    <x v="6"/>
    <s v="LEGUMEX"/>
    <x v="5"/>
    <m/>
    <s v="seau 5kg"/>
    <n v="10.28"/>
    <n v="0"/>
  </r>
  <r>
    <s v="FAC-5673"/>
    <s v="23/07/2024"/>
    <x v="6"/>
    <s v="B. Halal Pro"/>
    <x v="6"/>
    <m/>
    <s v="kg"/>
    <n v="8.39"/>
    <n v="0"/>
  </r>
  <r>
    <s v="FAC-5674"/>
    <s v="23/07/2024"/>
    <x v="6"/>
    <s v="B. Halal Pro"/>
    <x v="7"/>
    <n v="10"/>
    <s v="kg"/>
    <n v="7.72"/>
    <n v="77.2"/>
  </r>
  <r>
    <s v="FAC-5675"/>
    <s v="23/07/2024"/>
    <x v="6"/>
    <s v="Boul. Express"/>
    <x v="8"/>
    <n v="12"/>
    <s v="paquet x12"/>
    <n v="5.83"/>
    <n v="69.960000000000008"/>
  </r>
  <r>
    <s v="FAC-5676"/>
    <s v="23/07/2024"/>
    <x v="6"/>
    <s v="Boul. Express"/>
    <x v="9"/>
    <n v="10"/>
    <s v="paquet x10"/>
    <n v="3.89"/>
    <n v="38.9"/>
  </r>
  <r>
    <s v="FAC-5677"/>
    <s v="24/07/2024"/>
    <x v="6"/>
    <s v="LEGUMEX"/>
    <x v="3"/>
    <n v="6"/>
    <s v="boite 3kg"/>
    <n v="4.5199999999999996"/>
    <n v="27.119999999999997"/>
  </r>
  <r>
    <s v="FAC-5678"/>
    <s v="24/07/2024"/>
    <x v="6"/>
    <s v="LEGUMEX"/>
    <x v="4"/>
    <n v="4"/>
    <s v="bidon 5L"/>
    <n v="22.58"/>
    <n v="90.32"/>
  </r>
  <r>
    <s v="FAC-5679"/>
    <s v="24/07/2024"/>
    <x v="6"/>
    <s v="LEGUMEX"/>
    <x v="5"/>
    <n v="6"/>
    <s v="seau 5kg"/>
    <n v="10.24"/>
    <n v="61.44"/>
  </r>
  <r>
    <s v="FAC-5680"/>
    <s v="24/07/2024"/>
    <x v="6"/>
    <s v="Moulin du Nord"/>
    <x v="10"/>
    <n v="2"/>
    <s v="sac 25kg"/>
    <n v="19.3"/>
    <n v="38.6"/>
  </r>
  <r>
    <s v="FAC-5681"/>
    <s v="24/07/2024"/>
    <x v="6"/>
    <s v="Fromag. Centrale"/>
    <x v="11"/>
    <n v="6"/>
    <s v="kg"/>
    <n v="8.81"/>
    <n v="52.86"/>
  </r>
  <r>
    <s v="FAC-5682"/>
    <s v="25/07/2024"/>
    <x v="6"/>
    <s v="Metro"/>
    <x v="0"/>
    <n v="3"/>
    <s v="pack 24"/>
    <n v="14.18"/>
    <n v="42.54"/>
  </r>
  <r>
    <s v="FAC-5683"/>
    <s v="25/07/2024"/>
    <x v="6"/>
    <s v="Metro"/>
    <x v="1"/>
    <n v="5"/>
    <s v="pack 24"/>
    <n v="13"/>
    <n v="65"/>
  </r>
  <r>
    <s v="FAC-5684"/>
    <s v="25/07/2024"/>
    <x v="6"/>
    <s v="Metro"/>
    <x v="2"/>
    <m/>
    <s v="kg"/>
    <n v="1.25"/>
    <n v="0"/>
  </r>
  <r>
    <s v="FAC-5685"/>
    <s v="26/07/2024"/>
    <x v="6"/>
    <s v="B. Halal Pro"/>
    <x v="6"/>
    <n v="5"/>
    <s v="kg"/>
    <n v="8.98"/>
    <n v="44.900000000000006"/>
  </r>
  <r>
    <s v="FAC-5686"/>
    <s v="26/07/2024"/>
    <x v="6"/>
    <s v="B. Halal Pro"/>
    <x v="7"/>
    <n v="12"/>
    <s v="kg"/>
    <n v="7.2"/>
    <n v="86.4"/>
  </r>
  <r>
    <s v="FAC-5687"/>
    <s v="26/07/2024"/>
    <x v="6"/>
    <s v="Boul. Express"/>
    <x v="8"/>
    <n v="8"/>
    <s v="paquet x12"/>
    <n v="5.98"/>
    <n v="47.84"/>
  </r>
  <r>
    <s v="FAC-5688"/>
    <s v="26/07/2024"/>
    <x v="6"/>
    <s v="Boul. Express"/>
    <x v="9"/>
    <n v="5"/>
    <s v="paquet x10"/>
    <n v="4"/>
    <n v="20"/>
  </r>
  <r>
    <s v="FAC-5689"/>
    <s v="27/07/2024"/>
    <x v="6"/>
    <s v="Fromag. Centrale"/>
    <x v="11"/>
    <n v="4"/>
    <s v="kg"/>
    <n v="8.43"/>
    <n v="33.72"/>
  </r>
  <r>
    <s v="FAC-5690"/>
    <s v="29/07/2024"/>
    <x v="6"/>
    <s v="Metro"/>
    <x v="0"/>
    <n v="5"/>
    <s v="pack 24"/>
    <n v="14.46"/>
    <n v="72.300000000000011"/>
  </r>
  <r>
    <s v="FAC-5691"/>
    <s v="29/07/2024"/>
    <x v="6"/>
    <s v="Metro"/>
    <x v="1"/>
    <n v="6"/>
    <s v="pack 24"/>
    <n v="13.07"/>
    <n v="78.42"/>
  </r>
  <r>
    <s v="FAC-5692"/>
    <s v="29/07/2024"/>
    <x v="6"/>
    <s v="Metro"/>
    <x v="2"/>
    <n v="5"/>
    <s v="kg"/>
    <n v="1.25"/>
    <n v="6.25"/>
  </r>
  <r>
    <s v="FAC-5693"/>
    <s v="29/07/2024"/>
    <x v="6"/>
    <s v="LEGUMEX"/>
    <x v="3"/>
    <n v="4"/>
    <s v="boite 3kg"/>
    <n v="4.26"/>
    <n v="17.04"/>
  </r>
  <r>
    <s v="FAC-5694"/>
    <s v="29/07/2024"/>
    <x v="6"/>
    <s v="LEGUMEX"/>
    <x v="4"/>
    <n v="4"/>
    <s v="bidon 5L"/>
    <n v="23.63"/>
    <n v="94.52"/>
  </r>
  <r>
    <s v="FAC-5695"/>
    <s v="29/07/2024"/>
    <x v="6"/>
    <s v="LEGUMEX"/>
    <x v="5"/>
    <n v="8"/>
    <s v="seau 5kg"/>
    <n v="10.3"/>
    <n v="82.4"/>
  </r>
  <r>
    <s v="FAC-5696"/>
    <s v="30/07/2024"/>
    <x v="6"/>
    <s v="B. Halal Pro"/>
    <x v="6"/>
    <n v="6"/>
    <s v="kg"/>
    <n v="8.3800000000000008"/>
    <n v="50.28"/>
  </r>
  <r>
    <s v="FAC-5697"/>
    <s v="30/07/2024"/>
    <x v="6"/>
    <s v="B. Halal Pro"/>
    <x v="7"/>
    <n v="6"/>
    <s v="kg"/>
    <n v="7.48"/>
    <n v="44.88"/>
  </r>
  <r>
    <s v="FAC-5698"/>
    <s v="30/07/2024"/>
    <x v="6"/>
    <s v="Boul. Express"/>
    <x v="8"/>
    <n v="8"/>
    <s v="paquet x12"/>
    <n v="6.03"/>
    <n v="48.24"/>
  </r>
  <r>
    <s v="FAC-5699"/>
    <s v="30/07/2024"/>
    <x v="6"/>
    <s v="Boul. Express"/>
    <x v="9"/>
    <n v="12"/>
    <s v="paquet x10"/>
    <n v="3.86"/>
    <n v="46.32"/>
  </r>
  <r>
    <s v="FAC-5700"/>
    <s v="31/07/2024"/>
    <x v="6"/>
    <s v="LEGUMEX"/>
    <x v="3"/>
    <n v="4"/>
    <s v="boite 3kg"/>
    <n v="4.34"/>
    <n v="17.36"/>
  </r>
  <r>
    <s v="FAC-5701"/>
    <s v="31/07/2024"/>
    <x v="6"/>
    <s v="LEGUMEX"/>
    <x v="4"/>
    <n v="10"/>
    <s v="bidon 5L"/>
    <n v="23.07"/>
    <n v="230.7"/>
  </r>
  <r>
    <s v="FAC-5702"/>
    <s v="31/07/2024"/>
    <x v="6"/>
    <s v="LEGUMEX"/>
    <x v="5"/>
    <n v="6"/>
    <s v="seau 5kg"/>
    <n v="9.44"/>
    <n v="56.64"/>
  </r>
  <r>
    <s v="FAC-5703"/>
    <s v="31/07/2024"/>
    <x v="6"/>
    <s v="Moulin du Nord"/>
    <x v="10"/>
    <n v="2"/>
    <s v="sac 25kg"/>
    <n v="19.38"/>
    <n v="38.76"/>
  </r>
  <r>
    <s v="FAC-5704"/>
    <s v="31/07/2024"/>
    <x v="6"/>
    <s v="Fromag. Centrale"/>
    <x v="11"/>
    <n v="6"/>
    <s v="kg"/>
    <n v="8.43"/>
    <n v="50.58"/>
  </r>
  <r>
    <s v="FAC-5705"/>
    <s v="01/08/2024"/>
    <x v="7"/>
    <s v="Metro"/>
    <x v="0"/>
    <n v="6"/>
    <s v="pack 24"/>
    <n v="14.88"/>
    <n v="89.28"/>
  </r>
  <r>
    <s v="FAC-5706"/>
    <s v="01/08/2024"/>
    <x v="7"/>
    <s v="Metro"/>
    <x v="1"/>
    <n v="3"/>
    <s v="pack 24"/>
    <n v="13.4"/>
    <n v="40.200000000000003"/>
  </r>
  <r>
    <s v="FAC-5707"/>
    <s v="01/08/2024"/>
    <x v="7"/>
    <s v="Metro"/>
    <x v="2"/>
    <n v="3"/>
    <s v="kg"/>
    <n v="1.23"/>
    <n v="3.69"/>
  </r>
  <r>
    <s v="FAC-5708"/>
    <s v="02/08/2024"/>
    <x v="7"/>
    <s v="B. Halal Pro"/>
    <x v="6"/>
    <n v="8"/>
    <s v="kg"/>
    <n v="8.9"/>
    <n v="71.2"/>
  </r>
  <r>
    <s v="FAC-5709"/>
    <s v="02/08/2024"/>
    <x v="7"/>
    <s v="B. Halal Pro"/>
    <x v="7"/>
    <n v="8"/>
    <s v="kg"/>
    <n v="7.43"/>
    <n v="59.44"/>
  </r>
  <r>
    <s v="FAC-5710"/>
    <s v="02/08/2024"/>
    <x v="7"/>
    <s v="Boul. Express"/>
    <x v="8"/>
    <n v="8"/>
    <s v="paquet x12"/>
    <n v="5.77"/>
    <n v="46.16"/>
  </r>
  <r>
    <s v="FAC-5711"/>
    <s v="02/08/2024"/>
    <x v="7"/>
    <s v="Boul. Express"/>
    <x v="9"/>
    <n v="8"/>
    <s v="paquet x10"/>
    <n v="3.86"/>
    <n v="30.88"/>
  </r>
  <r>
    <s v="FAC-5712"/>
    <s v="03/08/2024"/>
    <x v="7"/>
    <s v="Fromag. Centrale"/>
    <x v="11"/>
    <n v="8"/>
    <s v="kg"/>
    <n v="8.94"/>
    <n v="71.52"/>
  </r>
  <r>
    <s v="FAC-5713"/>
    <s v="05/08/2024"/>
    <x v="7"/>
    <s v="Metro"/>
    <x v="0"/>
    <n v="6"/>
    <s v="pack 24"/>
    <n v="14.37"/>
    <n v="86.22"/>
  </r>
  <r>
    <s v="FAC-5714"/>
    <s v="05/08/2024"/>
    <x v="7"/>
    <s v="Metro"/>
    <x v="1"/>
    <n v="3"/>
    <s v="pack 24"/>
    <n v="12.99"/>
    <n v="38.97"/>
  </r>
  <r>
    <s v="FAC-5715"/>
    <s v="05/08/2024"/>
    <x v="7"/>
    <s v="Metro"/>
    <x v="2"/>
    <n v="3"/>
    <s v="kg"/>
    <n v="1.19"/>
    <n v="3.57"/>
  </r>
  <r>
    <s v="FAC-5716"/>
    <s v="05/08/2024"/>
    <x v="7"/>
    <s v="LEGUMEX"/>
    <x v="3"/>
    <n v="6"/>
    <s v="boite 3kg"/>
    <n v="4.04"/>
    <n v="24.240000000000002"/>
  </r>
  <r>
    <s v="FAC-5717"/>
    <s v="05/08/2024"/>
    <x v="7"/>
    <s v="LEGUMEX"/>
    <x v="4"/>
    <n v="8"/>
    <s v="bidon 5L"/>
    <n v="22.37"/>
    <n v="178.96"/>
  </r>
  <r>
    <s v="FAC-5718"/>
    <s v="05/08/2024"/>
    <x v="7"/>
    <s v="LEGUMEX"/>
    <x v="5"/>
    <n v="10"/>
    <s v="seau 5kg"/>
    <n v="9.35"/>
    <n v="93.5"/>
  </r>
  <r>
    <s v="FAC-5719"/>
    <s v="06/08/2024"/>
    <x v="7"/>
    <s v="B. Halal Pro"/>
    <x v="6"/>
    <n v="5"/>
    <s v="kg"/>
    <n v="8.58"/>
    <n v="42.9"/>
  </r>
  <r>
    <s v="FAC-5720"/>
    <s v="06/08/2024"/>
    <x v="7"/>
    <s v="B. Halal Pro"/>
    <x v="7"/>
    <n v="5"/>
    <s v="kg"/>
    <n v="6.76"/>
    <n v="33.799999999999997"/>
  </r>
  <r>
    <s v="FAC-5721"/>
    <s v="06/08/2024"/>
    <x v="7"/>
    <s v="Boul. Express"/>
    <x v="8"/>
    <n v="12"/>
    <s v="paquet x12"/>
    <n v="5.73"/>
    <n v="68.760000000000005"/>
  </r>
  <r>
    <s v="FAC-5722"/>
    <s v="06/08/2024"/>
    <x v="7"/>
    <s v="Boul. Express"/>
    <x v="9"/>
    <n v="10"/>
    <s v="paquet x10"/>
    <n v="3.96"/>
    <n v="39.6"/>
  </r>
  <r>
    <s v="FAC-5723"/>
    <s v="07/08/2024"/>
    <x v="7"/>
    <s v="LEGUMEX"/>
    <x v="3"/>
    <n v="4"/>
    <s v="boite 3kg"/>
    <n v="4"/>
    <n v="16"/>
  </r>
  <r>
    <s v="FAC-5724"/>
    <s v="07/08/2024"/>
    <x v="7"/>
    <s v="LEGUMEX"/>
    <x v="4"/>
    <n v="4"/>
    <s v="bidon 5L"/>
    <n v="23.21"/>
    <n v="92.84"/>
  </r>
  <r>
    <s v="FAC-5725"/>
    <s v="07/08/2024"/>
    <x v="7"/>
    <s v="LEGUMEX"/>
    <x v="5"/>
    <n v="10"/>
    <s v="seau 5kg"/>
    <n v="9.4700000000000006"/>
    <n v="94.7"/>
  </r>
  <r>
    <s v="FAC-5726"/>
    <s v="07/08/2024"/>
    <x v="7"/>
    <s v="Moulin du Nord"/>
    <x v="10"/>
    <n v="3"/>
    <s v="sac 25kg"/>
    <n v="19.13"/>
    <n v="57.39"/>
  </r>
  <r>
    <s v="FAC-5727"/>
    <s v="07/08/2024"/>
    <x v="7"/>
    <s v="Fromag. Centrale"/>
    <x v="11"/>
    <n v="6"/>
    <s v="kg"/>
    <n v="9.34"/>
    <n v="56.04"/>
  </r>
  <r>
    <s v="FAC-5728"/>
    <s v="08/08/2024"/>
    <x v="7"/>
    <s v="Metro"/>
    <x v="0"/>
    <n v="5"/>
    <s v="pack 24"/>
    <n v="14.33"/>
    <n v="71.650000000000006"/>
  </r>
  <r>
    <s v="FAC-5729"/>
    <s v="08/08/2024"/>
    <x v="7"/>
    <s v="Metro"/>
    <x v="1"/>
    <n v="4"/>
    <s v="pack 24"/>
    <n v="13.57"/>
    <n v="54.28"/>
  </r>
  <r>
    <s v="FAC-5730"/>
    <s v="08/08/2024"/>
    <x v="7"/>
    <s v="Metro"/>
    <x v="2"/>
    <n v="6"/>
    <s v="kg"/>
    <n v="1.17"/>
    <n v="7.02"/>
  </r>
  <r>
    <s v="FAC-5731"/>
    <s v="09/08/2024"/>
    <x v="7"/>
    <s v="B. Halal Pro"/>
    <x v="6"/>
    <n v="12"/>
    <s v="kg"/>
    <n v="9.32"/>
    <n v="111.84"/>
  </r>
  <r>
    <s v="FAC-5732"/>
    <s v="09/08/2024"/>
    <x v="7"/>
    <s v="B. Halal Pro"/>
    <x v="7"/>
    <n v="8"/>
    <s v="kg"/>
    <n v="7.76"/>
    <n v="62.08"/>
  </r>
  <r>
    <s v="FAC-5733"/>
    <s v="09/08/2024"/>
    <x v="7"/>
    <s v="Boul. Express"/>
    <x v="8"/>
    <n v="10"/>
    <s v="paquet x12"/>
    <n v="5.8"/>
    <n v="58"/>
  </r>
  <r>
    <s v="FAC-5734"/>
    <s v="09/08/2024"/>
    <x v="7"/>
    <s v="Boul. Express"/>
    <x v="9"/>
    <n v="8"/>
    <s v="paquet x10"/>
    <n v="3.83"/>
    <n v="30.64"/>
  </r>
  <r>
    <s v="FAC-5735"/>
    <s v="10/08/2024"/>
    <x v="7"/>
    <s v="Fromag. Centrale"/>
    <x v="11"/>
    <n v="10"/>
    <s v="kg"/>
    <n v="8.4499999999999993"/>
    <n v="84.5"/>
  </r>
  <r>
    <s v="FAC-5736"/>
    <s v="12/08/2024"/>
    <x v="7"/>
    <s v="Metro"/>
    <x v="0"/>
    <n v="4"/>
    <s v="pack 24"/>
    <n v="15.23"/>
    <n v="60.92"/>
  </r>
  <r>
    <s v="FAC-5737"/>
    <s v="12/08/2024"/>
    <x v="7"/>
    <s v="Metro"/>
    <x v="1"/>
    <n v="5"/>
    <s v="pack 24"/>
    <n v="13.44"/>
    <n v="67.2"/>
  </r>
  <r>
    <s v="FAC-5738"/>
    <s v="12/08/2024"/>
    <x v="7"/>
    <s v="Metro"/>
    <x v="2"/>
    <n v="4"/>
    <s v="kg"/>
    <n v="1.23"/>
    <n v="4.92"/>
  </r>
  <r>
    <s v="FAC-5739"/>
    <s v="12/08/2024"/>
    <x v="7"/>
    <s v="LEGUMEX"/>
    <x v="3"/>
    <n v="6"/>
    <s v="boite 3kg"/>
    <n v="4.18"/>
    <n v="25.08"/>
  </r>
  <r>
    <s v="FAC-5740"/>
    <s v="12/08/2024"/>
    <x v="7"/>
    <s v="LEGUMEX"/>
    <x v="4"/>
    <n v="8"/>
    <s v="bidon 5L"/>
    <n v="23.21"/>
    <n v="185.68"/>
  </r>
  <r>
    <s v="FAC-5741"/>
    <s v="12/08/2024"/>
    <x v="7"/>
    <s v="LEGUMEX"/>
    <x v="5"/>
    <n v="8"/>
    <s v="seau 5kg"/>
    <n v="10.210000000000001"/>
    <n v="81.680000000000007"/>
  </r>
  <r>
    <s v="FAC-5742"/>
    <s v="13/08/2024"/>
    <x v="7"/>
    <s v="B. Halal Pro"/>
    <x v="6"/>
    <n v="6"/>
    <s v="kg"/>
    <n v="9.64"/>
    <n v="57.84"/>
  </r>
  <r>
    <s v="FAC-5743"/>
    <s v="13/08/2024"/>
    <x v="7"/>
    <s v="B. Halal Pro"/>
    <x v="7"/>
    <n v="6"/>
    <s v="kg"/>
    <n v="7.25"/>
    <n v="43.5"/>
  </r>
  <r>
    <s v="FAC-5744"/>
    <s v="13/08/2024"/>
    <x v="7"/>
    <s v="Boul. Express"/>
    <x v="8"/>
    <m/>
    <s v="paquet x12"/>
    <n v="5.7"/>
    <n v="0"/>
  </r>
  <r>
    <s v="FAC-5745"/>
    <s v="13/08/2024"/>
    <x v="7"/>
    <s v="Boul. Express"/>
    <x v="9"/>
    <n v="8"/>
    <s v="paquet x10"/>
    <n v="3.82"/>
    <n v="30.56"/>
  </r>
  <r>
    <s v="FAC-5746"/>
    <s v="14/08/2024"/>
    <x v="7"/>
    <s v="LEGUMEX"/>
    <x v="3"/>
    <n v="8"/>
    <s v="boite 3kg"/>
    <n v="4.38"/>
    <n v="35.04"/>
  </r>
  <r>
    <s v="FAC-5747"/>
    <s v="14/08/2024"/>
    <x v="7"/>
    <s v="LEGUMEX"/>
    <x v="4"/>
    <n v="6"/>
    <s v="bidon 5L"/>
    <n v="22.58"/>
    <n v="135.47999999999999"/>
  </r>
  <r>
    <s v="FAC-5748"/>
    <s v="14/08/2024"/>
    <x v="7"/>
    <s v="LEGUMEX"/>
    <x v="5"/>
    <n v="8"/>
    <s v="seau 5kg"/>
    <n v="10.53"/>
    <n v="84.24"/>
  </r>
  <r>
    <s v="FAC-5749"/>
    <s v="14/08/2024"/>
    <x v="7"/>
    <s v="Moulin du Nord"/>
    <x v="10"/>
    <n v="3"/>
    <s v="sac 25kg"/>
    <n v="18.739999999999998"/>
    <n v="56.22"/>
  </r>
  <r>
    <s v="FAC-5750"/>
    <s v="14/08/2024"/>
    <x v="7"/>
    <s v="Fromag. Centrale"/>
    <x v="11"/>
    <n v="10"/>
    <s v="kg"/>
    <n v="9.76"/>
    <n v="97.6"/>
  </r>
  <r>
    <s v="FAC-5751"/>
    <s v="15/08/2024"/>
    <x v="7"/>
    <s v="Metro"/>
    <x v="0"/>
    <n v="5"/>
    <s v="pack 24"/>
    <n v="14.19"/>
    <n v="70.95"/>
  </r>
  <r>
    <s v="FAC-5752"/>
    <s v="15/08/2024"/>
    <x v="7"/>
    <s v="Metro"/>
    <x v="1"/>
    <n v="5"/>
    <s v="pack 24"/>
    <n v="13.07"/>
    <n v="65.349999999999994"/>
  </r>
  <r>
    <s v="FAC-5753"/>
    <s v="15/08/2024"/>
    <x v="7"/>
    <s v="Metro"/>
    <x v="2"/>
    <n v="6"/>
    <s v="kg"/>
    <n v="1.2"/>
    <n v="7.1999999999999993"/>
  </r>
  <r>
    <s v="FAC-5754"/>
    <s v="16/08/2024"/>
    <x v="7"/>
    <s v="B. Halal Pro"/>
    <x v="6"/>
    <n v="5"/>
    <s v="kg"/>
    <n v="8.77"/>
    <n v="43.849999999999994"/>
  </r>
  <r>
    <s v="FAC-5755"/>
    <s v="16/08/2024"/>
    <x v="7"/>
    <s v="B. Halal Pro"/>
    <x v="7"/>
    <m/>
    <s v="kg"/>
    <n v="7.6"/>
    <n v="0"/>
  </r>
  <r>
    <s v="FAC-5756"/>
    <s v="16/08/2024"/>
    <x v="7"/>
    <s v="Boul. Express"/>
    <x v="8"/>
    <n v="8"/>
    <s v="paquet x12"/>
    <n v="6"/>
    <n v="48"/>
  </r>
  <r>
    <s v="FAC-5757"/>
    <s v="16/08/2024"/>
    <x v="7"/>
    <s v="Boul. Express"/>
    <x v="9"/>
    <n v="8"/>
    <s v="paquet x10"/>
    <n v="4.04"/>
    <n v="32.32"/>
  </r>
  <r>
    <s v="FAC-5758"/>
    <s v="17/08/2024"/>
    <x v="7"/>
    <s v="Fromag. Centrale"/>
    <x v="11"/>
    <n v="8"/>
    <s v="kg"/>
    <n v="8.6999999999999993"/>
    <n v="69.599999999999994"/>
  </r>
  <r>
    <s v="FAC-5759"/>
    <s v="19/08/2024"/>
    <x v="7"/>
    <s v="Metro"/>
    <x v="0"/>
    <n v="5"/>
    <s v="pack 24"/>
    <n v="14.55"/>
    <n v="72.75"/>
  </r>
  <r>
    <s v="FAC-5760"/>
    <s v="19/08/2024"/>
    <x v="7"/>
    <s v="Metro"/>
    <x v="1"/>
    <n v="3"/>
    <s v="pack 24"/>
    <n v="13.22"/>
    <n v="39.660000000000004"/>
  </r>
  <r>
    <s v="FAC-5761"/>
    <s v="19/08/2024"/>
    <x v="7"/>
    <s v="Metro"/>
    <x v="2"/>
    <n v="3"/>
    <s v="kg"/>
    <n v="1.21"/>
    <n v="3.63"/>
  </r>
  <r>
    <s v="FAC-5762"/>
    <s v="19/08/2024"/>
    <x v="7"/>
    <s v="LEGUMEX"/>
    <x v="3"/>
    <n v="10"/>
    <s v="boite 3kg"/>
    <n v="4.47"/>
    <n v="44.699999999999996"/>
  </r>
  <r>
    <s v="FAC-5763"/>
    <s v="19/08/2024"/>
    <x v="7"/>
    <s v="LEGUMEX"/>
    <x v="4"/>
    <n v="4"/>
    <s v="bidon 5L"/>
    <n v="22.46"/>
    <n v="89.84"/>
  </r>
  <r>
    <s v="FAC-5764"/>
    <s v="19/08/2024"/>
    <x v="7"/>
    <s v="LEGUMEX"/>
    <x v="5"/>
    <n v="4"/>
    <s v="seau 5kg"/>
    <n v="9.52"/>
    <n v="38.08"/>
  </r>
  <r>
    <s v="FAC-5765"/>
    <s v="20/08/2024"/>
    <x v="7"/>
    <s v="B. Halal Pro"/>
    <x v="6"/>
    <n v="8"/>
    <s v="kg"/>
    <n v="9.0299999999999994"/>
    <n v="72.239999999999995"/>
  </r>
  <r>
    <s v="FAC-5766"/>
    <s v="20/08/2024"/>
    <x v="7"/>
    <s v="B. Halal Pro"/>
    <x v="7"/>
    <n v="6"/>
    <s v="kg"/>
    <n v="6.71"/>
    <n v="40.26"/>
  </r>
  <r>
    <s v="FAC-5767"/>
    <s v="20/08/2024"/>
    <x v="7"/>
    <s v="Boul. Express"/>
    <x v="8"/>
    <n v="5"/>
    <s v="paquet x12"/>
    <n v="5.94"/>
    <n v="29.700000000000003"/>
  </r>
  <r>
    <s v="FAC-5768"/>
    <s v="20/08/2024"/>
    <x v="7"/>
    <s v="Boul. Express"/>
    <x v="9"/>
    <n v="12"/>
    <s v="paquet x10"/>
    <n v="3.99"/>
    <n v="47.88"/>
  </r>
  <r>
    <s v="FAC-5769"/>
    <s v="21/08/2024"/>
    <x v="7"/>
    <s v="LEGUMEX"/>
    <x v="3"/>
    <n v="10"/>
    <s v="boite 3kg"/>
    <n v="4.32"/>
    <n v="43.2"/>
  </r>
  <r>
    <s v="FAC-5770"/>
    <s v="21/08/2024"/>
    <x v="7"/>
    <s v="LEGUMEX"/>
    <x v="4"/>
    <n v="6"/>
    <s v="bidon 5L"/>
    <n v="21.85"/>
    <n v="131.10000000000002"/>
  </r>
  <r>
    <s v="FAC-5771"/>
    <s v="21/08/2024"/>
    <x v="7"/>
    <s v="LEGUMEX"/>
    <x v="5"/>
    <n v="8"/>
    <s v="seau 5kg"/>
    <n v="10.15"/>
    <n v="81.2"/>
  </r>
  <r>
    <s v="FAC-5772"/>
    <s v="21/08/2024"/>
    <x v="7"/>
    <s v="Moulin du Nord"/>
    <x v="10"/>
    <n v="4"/>
    <s v="sac 25kg"/>
    <n v="18.41"/>
    <n v="73.64"/>
  </r>
  <r>
    <s v="FAC-5773"/>
    <s v="21/08/2024"/>
    <x v="7"/>
    <s v="Fromag. Centrale"/>
    <x v="11"/>
    <n v="4"/>
    <s v="kg"/>
    <n v="8.44"/>
    <n v="33.76"/>
  </r>
  <r>
    <s v="FAC-5774"/>
    <s v="22/08/2024"/>
    <x v="7"/>
    <s v="Metro"/>
    <x v="0"/>
    <m/>
    <s v="pack 24"/>
    <n v="14.23"/>
    <n v="0"/>
  </r>
  <r>
    <s v="FAC-5775"/>
    <s v="22/08/2024"/>
    <x v="7"/>
    <s v="Metro"/>
    <x v="1"/>
    <n v="5"/>
    <s v="pack 24"/>
    <n v="13.96"/>
    <n v="69.800000000000011"/>
  </r>
  <r>
    <s v="FAC-5776"/>
    <s v="22/08/2024"/>
    <x v="7"/>
    <s v="Metro"/>
    <x v="2"/>
    <n v="5"/>
    <s v="kg"/>
    <n v="1.25"/>
    <n v="6.25"/>
  </r>
  <r>
    <s v="FAC-5777"/>
    <s v="23/08/2024"/>
    <x v="7"/>
    <s v="B. Halal Pro"/>
    <x v="6"/>
    <n v="12"/>
    <s v="kg"/>
    <n v="8.57"/>
    <n v="102.84"/>
  </r>
  <r>
    <s v="FAC-5778"/>
    <s v="23/08/2024"/>
    <x v="7"/>
    <s v="B. Halal Pro"/>
    <x v="7"/>
    <n v="8"/>
    <s v="kg"/>
    <n v="7.64"/>
    <n v="61.12"/>
  </r>
  <r>
    <s v="FAC-5779"/>
    <s v="23/08/2024"/>
    <x v="7"/>
    <s v="Boul. Express"/>
    <x v="8"/>
    <n v="12"/>
    <s v="paquet x12"/>
    <n v="5.78"/>
    <n v="69.36"/>
  </r>
  <r>
    <s v="FAC-5780"/>
    <s v="23/08/2024"/>
    <x v="7"/>
    <s v="Boul. Express"/>
    <x v="9"/>
    <n v="8"/>
    <s v="paquet x10"/>
    <n v="3.95"/>
    <n v="31.6"/>
  </r>
  <r>
    <s v="FAC-5781"/>
    <s v="24/08/2024"/>
    <x v="7"/>
    <s v="Fromag. Centrale"/>
    <x v="11"/>
    <n v="8"/>
    <s v="kg"/>
    <n v="8.49"/>
    <n v="67.92"/>
  </r>
  <r>
    <s v="FAC-5782"/>
    <s v="26/08/2024"/>
    <x v="7"/>
    <s v="Metro"/>
    <x v="0"/>
    <n v="4"/>
    <s v="pack 24"/>
    <n v="14.69"/>
    <n v="58.76"/>
  </r>
  <r>
    <s v="FAC-5783"/>
    <s v="26/08/2024"/>
    <x v="7"/>
    <s v="Metro"/>
    <x v="1"/>
    <n v="6"/>
    <s v="pack 24"/>
    <n v="13.95"/>
    <n v="83.699999999999989"/>
  </r>
  <r>
    <s v="FAC-5784"/>
    <s v="26/08/2024"/>
    <x v="7"/>
    <s v="Metro"/>
    <x v="2"/>
    <n v="4"/>
    <s v="kg"/>
    <n v="1.22"/>
    <n v="4.88"/>
  </r>
  <r>
    <s v="FAC-5785"/>
    <s v="26/08/2024"/>
    <x v="7"/>
    <s v="LEGUMEX"/>
    <x v="3"/>
    <n v="6"/>
    <s v="boite 3kg"/>
    <n v="4.26"/>
    <n v="25.56"/>
  </r>
  <r>
    <s v="FAC-5786"/>
    <s v="26/08/2024"/>
    <x v="7"/>
    <s v="LEGUMEX"/>
    <x v="4"/>
    <n v="6"/>
    <s v="bidon 5L"/>
    <n v="21.39"/>
    <n v="128.34"/>
  </r>
  <r>
    <s v="FAC-5787"/>
    <s v="26/08/2024"/>
    <x v="7"/>
    <s v="LEGUMEX"/>
    <x v="5"/>
    <n v="10"/>
    <s v="seau 5kg"/>
    <n v="9.4700000000000006"/>
    <n v="94.7"/>
  </r>
  <r>
    <s v="FAC-5788"/>
    <s v="27/08/2024"/>
    <x v="7"/>
    <s v="B. Halal Pro"/>
    <x v="6"/>
    <n v="6"/>
    <s v="kg"/>
    <n v="8.82"/>
    <n v="52.92"/>
  </r>
  <r>
    <s v="FAC-5789"/>
    <s v="27/08/2024"/>
    <x v="7"/>
    <s v="B. Halal Pro"/>
    <x v="7"/>
    <n v="5"/>
    <s v="kg"/>
    <n v="6.99"/>
    <n v="34.950000000000003"/>
  </r>
  <r>
    <s v="FAC-5790"/>
    <s v="27/08/2024"/>
    <x v="7"/>
    <s v="Boul. Express"/>
    <x v="8"/>
    <n v="10"/>
    <s v="paquet x12"/>
    <n v="5.88"/>
    <n v="58.8"/>
  </r>
  <r>
    <s v="FAC-5791"/>
    <s v="27/08/2024"/>
    <x v="7"/>
    <s v="Boul. Express"/>
    <x v="9"/>
    <n v="12"/>
    <s v="paquet x10"/>
    <n v="4.01"/>
    <n v="48.12"/>
  </r>
  <r>
    <s v="FAC-5792"/>
    <s v="28/08/2024"/>
    <x v="7"/>
    <s v="LEGUMEX"/>
    <x v="3"/>
    <n v="4"/>
    <s v="boite 3kg"/>
    <n v="4.07"/>
    <n v="16.28"/>
  </r>
  <r>
    <s v="FAC-5793"/>
    <s v="28/08/2024"/>
    <x v="7"/>
    <s v="LEGUMEX"/>
    <x v="4"/>
    <n v="8"/>
    <s v="bidon 5L"/>
    <n v="23.15"/>
    <n v="185.2"/>
  </r>
  <r>
    <s v="FAC-5794"/>
    <s v="28/08/2024"/>
    <x v="7"/>
    <s v="LEGUMEX"/>
    <x v="5"/>
    <n v="10"/>
    <s v="seau 5kg"/>
    <n v="9.8000000000000007"/>
    <n v="98"/>
  </r>
  <r>
    <s v="FAC-5795"/>
    <s v="28/08/2024"/>
    <x v="7"/>
    <s v="Moulin du Nord"/>
    <x v="10"/>
    <n v="3"/>
    <s v="sac 25kg"/>
    <n v="17.82"/>
    <n v="53.46"/>
  </r>
  <r>
    <s v="FAC-5796"/>
    <s v="28/08/2024"/>
    <x v="7"/>
    <s v="Fromag. Centrale"/>
    <x v="11"/>
    <n v="8"/>
    <s v="kg"/>
    <n v="8.42"/>
    <n v="67.36"/>
  </r>
  <r>
    <s v="FAC-5797"/>
    <s v="29/08/2024"/>
    <x v="7"/>
    <s v="Metro"/>
    <x v="0"/>
    <n v="6"/>
    <s v="pack 24"/>
    <n v="15.16"/>
    <n v="90.960000000000008"/>
  </r>
  <r>
    <s v="FAC-5798"/>
    <s v="29/08/2024"/>
    <x v="7"/>
    <s v="Metro"/>
    <x v="1"/>
    <n v="5"/>
    <s v="pack 24"/>
    <n v="13.78"/>
    <n v="68.899999999999991"/>
  </r>
  <r>
    <s v="FAC-5799"/>
    <s v="29/08/2024"/>
    <x v="7"/>
    <s v="Metro"/>
    <x v="2"/>
    <n v="6"/>
    <s v="kg"/>
    <n v="1.26"/>
    <n v="7.5600000000000005"/>
  </r>
  <r>
    <s v="FAC-5800"/>
    <s v="30/08/2024"/>
    <x v="7"/>
    <s v="B. Halal Pro"/>
    <x v="6"/>
    <n v="10"/>
    <s v="kg"/>
    <n v="8.67"/>
    <n v="86.7"/>
  </r>
  <r>
    <s v="FAC-5801"/>
    <s v="30/08/2024"/>
    <x v="7"/>
    <s v="B. Halal Pro"/>
    <x v="7"/>
    <n v="10"/>
    <s v="kg"/>
    <n v="6.93"/>
    <n v="69.3"/>
  </r>
  <r>
    <s v="FAC-5802"/>
    <s v="30/08/2024"/>
    <x v="7"/>
    <s v="Boul. Express"/>
    <x v="8"/>
    <n v="8"/>
    <s v="paquet x12"/>
    <n v="5.75"/>
    <n v="46"/>
  </r>
  <r>
    <s v="FAC-5803"/>
    <s v="30/08/2024"/>
    <x v="7"/>
    <s v="Boul. Express"/>
    <x v="9"/>
    <n v="10"/>
    <s v="paquet x10"/>
    <n v="4"/>
    <n v="40"/>
  </r>
  <r>
    <s v="FAC-5804"/>
    <s v="31/08/2024"/>
    <x v="7"/>
    <s v="Fromag. Centrale"/>
    <x v="11"/>
    <n v="10"/>
    <s v="kg"/>
    <n v="8.4600000000000009"/>
    <n v="84.600000000000009"/>
  </r>
  <r>
    <s v="FAC-5805"/>
    <s v="02/09/2024"/>
    <x v="8"/>
    <s v="Metro"/>
    <x v="0"/>
    <n v="3"/>
    <s v="pack 24"/>
    <n v="14.19"/>
    <n v="42.57"/>
  </r>
  <r>
    <s v="FAC-5806"/>
    <s v="02/09/2024"/>
    <x v="8"/>
    <s v="Metro"/>
    <x v="1"/>
    <n v="3"/>
    <s v="pack 24"/>
    <n v="13.1"/>
    <n v="39.299999999999997"/>
  </r>
  <r>
    <s v="FAC-5807"/>
    <s v="02/09/2024"/>
    <x v="8"/>
    <s v="Metro"/>
    <x v="2"/>
    <n v="4"/>
    <s v="kg"/>
    <n v="1.19"/>
    <n v="4.76"/>
  </r>
  <r>
    <s v="FAC-5808"/>
    <s v="02/09/2024"/>
    <x v="8"/>
    <s v="LEGUMEX"/>
    <x v="3"/>
    <n v="4"/>
    <s v="boite 3kg"/>
    <n v="4.34"/>
    <n v="17.36"/>
  </r>
  <r>
    <s v="FAC-5809"/>
    <s v="02/09/2024"/>
    <x v="8"/>
    <s v="LEGUMEX"/>
    <x v="4"/>
    <n v="10"/>
    <s v="bidon 5L"/>
    <n v="21.97"/>
    <n v="219.7"/>
  </r>
  <r>
    <s v="FAC-5810"/>
    <s v="02/09/2024"/>
    <x v="8"/>
    <s v="LEGUMEX"/>
    <x v="5"/>
    <n v="8"/>
    <s v="seau 5kg"/>
    <n v="10.06"/>
    <n v="80.48"/>
  </r>
  <r>
    <s v="FAC-5811"/>
    <s v="03/09/2024"/>
    <x v="8"/>
    <s v="B. Halal Pro"/>
    <x v="6"/>
    <n v="5"/>
    <s v="kg"/>
    <n v="10.07"/>
    <n v="50.35"/>
  </r>
  <r>
    <s v="FAC-5812"/>
    <s v="03/09/2024"/>
    <x v="8"/>
    <s v="B. Halal Pro"/>
    <x v="7"/>
    <n v="12"/>
    <s v="kg"/>
    <n v="6.68"/>
    <n v="80.16"/>
  </r>
  <r>
    <s v="FAC-5813"/>
    <s v="03/09/2024"/>
    <x v="8"/>
    <s v="Boul. Express"/>
    <x v="8"/>
    <n v="8"/>
    <s v="paquet x12"/>
    <n v="5.98"/>
    <n v="47.84"/>
  </r>
  <r>
    <s v="FAC-5814"/>
    <s v="03/09/2024"/>
    <x v="8"/>
    <s v="Boul. Express"/>
    <x v="9"/>
    <n v="5"/>
    <s v="paquet x10"/>
    <n v="3.97"/>
    <n v="19.850000000000001"/>
  </r>
  <r>
    <s v="FAC-5815"/>
    <s v="04/09/2024"/>
    <x v="8"/>
    <s v="LEGUMEX"/>
    <x v="3"/>
    <n v="6"/>
    <s v="boite 3kg"/>
    <n v="4.25"/>
    <n v="25.5"/>
  </r>
  <r>
    <s v="FAC-5816"/>
    <s v="04/09/2024"/>
    <x v="8"/>
    <s v="LEGUMEX"/>
    <x v="4"/>
    <n v="8"/>
    <s v="bidon 5L"/>
    <n v="21.54"/>
    <n v="172.32"/>
  </r>
  <r>
    <s v="FAC-5817"/>
    <s v="04/09/2024"/>
    <x v="8"/>
    <s v="LEGUMEX"/>
    <x v="5"/>
    <n v="10"/>
    <s v="seau 5kg"/>
    <n v="9.85"/>
    <n v="98.5"/>
  </r>
  <r>
    <s v="FAC-5818"/>
    <s v="04/09/2024"/>
    <x v="8"/>
    <s v="Moulin du Nord"/>
    <x v="10"/>
    <n v="3"/>
    <s v="sac 25kg"/>
    <n v="18.18"/>
    <n v="54.54"/>
  </r>
  <r>
    <s v="FAC-5819"/>
    <s v="04/09/2024"/>
    <x v="8"/>
    <s v="Fromag. Centrale"/>
    <x v="11"/>
    <n v="4"/>
    <s v="kg"/>
    <n v="9.1999999999999993"/>
    <n v="36.799999999999997"/>
  </r>
  <r>
    <s v="FAC-5820"/>
    <s v="05/09/2024"/>
    <x v="8"/>
    <s v="Metro"/>
    <x v="0"/>
    <n v="5"/>
    <s v="pack 24"/>
    <n v="14.35"/>
    <n v="71.75"/>
  </r>
  <r>
    <s v="FAC-5821"/>
    <s v="05/09/2024"/>
    <x v="8"/>
    <s v="Metro"/>
    <x v="1"/>
    <n v="5"/>
    <s v="pack 24"/>
    <n v="13.98"/>
    <n v="69.900000000000006"/>
  </r>
  <r>
    <s v="FAC-5822"/>
    <s v="05/09/2024"/>
    <x v="8"/>
    <s v="Metro"/>
    <x v="2"/>
    <n v="5"/>
    <s v="kg"/>
    <n v="1.23"/>
    <n v="6.15"/>
  </r>
  <r>
    <s v="FAC-5823"/>
    <s v="06/09/2024"/>
    <x v="8"/>
    <s v="B. Halal Pro"/>
    <x v="6"/>
    <n v="12"/>
    <s v="kg"/>
    <n v="8.7899999999999991"/>
    <n v="105.47999999999999"/>
  </r>
  <r>
    <s v="FAC-5824"/>
    <s v="06/09/2024"/>
    <x v="8"/>
    <s v="B. Halal Pro"/>
    <x v="7"/>
    <n v="12"/>
    <s v="kg"/>
    <n v="7.55"/>
    <n v="90.6"/>
  </r>
  <r>
    <s v="FAC-5825"/>
    <s v="06/09/2024"/>
    <x v="8"/>
    <s v="Boul. Express"/>
    <x v="8"/>
    <n v="5"/>
    <s v="paquet x12"/>
    <n v="5.92"/>
    <n v="29.6"/>
  </r>
  <r>
    <s v="FAC-5826"/>
    <s v="06/09/2024"/>
    <x v="8"/>
    <s v="Boul. Express"/>
    <x v="9"/>
    <n v="12"/>
    <s v="paquet x10"/>
    <n v="3.88"/>
    <n v="46.56"/>
  </r>
  <r>
    <s v="FAC-5827"/>
    <s v="07/09/2024"/>
    <x v="8"/>
    <s v="Fromag. Centrale"/>
    <x v="11"/>
    <n v="6"/>
    <s v="kg"/>
    <n v="9.1999999999999993"/>
    <n v="55.199999999999996"/>
  </r>
  <r>
    <s v="FAC-5828"/>
    <s v="09/09/2024"/>
    <x v="8"/>
    <s v="Metro"/>
    <x v="0"/>
    <n v="6"/>
    <s v="pack 24"/>
    <n v="15.14"/>
    <n v="90.84"/>
  </r>
  <r>
    <s v="FAC-5829"/>
    <s v="09/09/2024"/>
    <x v="8"/>
    <s v="Metro"/>
    <x v="1"/>
    <n v="5"/>
    <s v="pack 24"/>
    <n v="13.81"/>
    <n v="69.05"/>
  </r>
  <r>
    <s v="FAC-5830"/>
    <s v="09/09/2024"/>
    <x v="8"/>
    <s v="Metro"/>
    <x v="2"/>
    <n v="4"/>
    <s v="kg"/>
    <n v="1.2"/>
    <n v="4.8"/>
  </r>
  <r>
    <s v="FAC-5831"/>
    <s v="09/09/2024"/>
    <x v="8"/>
    <s v="LEGUMEX"/>
    <x v="3"/>
    <n v="6"/>
    <s v="boite 3kg"/>
    <n v="4.3899999999999997"/>
    <n v="26.339999999999996"/>
  </r>
  <r>
    <s v="FAC-5832"/>
    <s v="09/09/2024"/>
    <x v="8"/>
    <s v="LEGUMEX"/>
    <x v="4"/>
    <n v="6"/>
    <s v="bidon 5L"/>
    <n v="22.77"/>
    <n v="136.62"/>
  </r>
  <r>
    <s v="FAC-5833"/>
    <s v="09/09/2024"/>
    <x v="8"/>
    <s v="LEGUMEX"/>
    <x v="5"/>
    <n v="8"/>
    <s v="seau 5kg"/>
    <n v="9.85"/>
    <n v="78.8"/>
  </r>
  <r>
    <s v="FAC-5834"/>
    <s v="10/09/2024"/>
    <x v="8"/>
    <s v="B. Halal Pro"/>
    <x v="6"/>
    <n v="5"/>
    <s v="kg"/>
    <n v="9.42"/>
    <n v="47.1"/>
  </r>
  <r>
    <s v="FAC-5835"/>
    <s v="10/09/2024"/>
    <x v="8"/>
    <s v="B. Halal Pro"/>
    <x v="7"/>
    <n v="6"/>
    <s v="kg"/>
    <n v="7.17"/>
    <n v="43.019999999999996"/>
  </r>
  <r>
    <s v="FAC-5836"/>
    <s v="10/09/2024"/>
    <x v="8"/>
    <s v="Boul. Express"/>
    <x v="8"/>
    <n v="12"/>
    <s v="paquet x12"/>
    <n v="5.87"/>
    <n v="70.44"/>
  </r>
  <r>
    <s v="FAC-5837"/>
    <s v="10/09/2024"/>
    <x v="8"/>
    <s v="Boul. Express"/>
    <x v="9"/>
    <n v="8"/>
    <s v="paquet x10"/>
    <n v="3.85"/>
    <n v="30.8"/>
  </r>
  <r>
    <s v="FAC-5838"/>
    <s v="11/09/2024"/>
    <x v="8"/>
    <s v="LEGUMEX"/>
    <x v="3"/>
    <n v="6"/>
    <s v="boite 3kg"/>
    <n v="4.07"/>
    <n v="24.42"/>
  </r>
  <r>
    <s v="FAC-5839"/>
    <s v="11/09/2024"/>
    <x v="8"/>
    <s v="LEGUMEX"/>
    <x v="4"/>
    <n v="6"/>
    <s v="bidon 5L"/>
    <n v="21.85"/>
    <n v="131.10000000000002"/>
  </r>
  <r>
    <s v="FAC-5840"/>
    <s v="11/09/2024"/>
    <x v="8"/>
    <s v="LEGUMEX"/>
    <x v="5"/>
    <n v="8"/>
    <s v="seau 5kg"/>
    <n v="9.32"/>
    <n v="74.56"/>
  </r>
  <r>
    <s v="FAC-5841"/>
    <s v="11/09/2024"/>
    <x v="8"/>
    <s v="Moulin du Nord"/>
    <x v="10"/>
    <n v="2"/>
    <s v="sac 25kg"/>
    <n v="18.72"/>
    <n v="37.44"/>
  </r>
  <r>
    <s v="FAC-5842"/>
    <s v="11/09/2024"/>
    <x v="8"/>
    <s v="Fromag. Centrale"/>
    <x v="11"/>
    <n v="10"/>
    <s v="kg"/>
    <n v="8.5500000000000007"/>
    <n v="85.5"/>
  </r>
  <r>
    <s v="FAC-5843"/>
    <s v="12/09/2024"/>
    <x v="8"/>
    <s v="Metro"/>
    <x v="0"/>
    <n v="6"/>
    <s v="pack 24"/>
    <n v="15.22"/>
    <n v="91.320000000000007"/>
  </r>
  <r>
    <s v="FAC-5844"/>
    <s v="12/09/2024"/>
    <x v="8"/>
    <s v="Metro"/>
    <x v="1"/>
    <n v="4"/>
    <s v="pack 24"/>
    <n v="13.67"/>
    <n v="54.68"/>
  </r>
  <r>
    <s v="FAC-5845"/>
    <s v="12/09/2024"/>
    <x v="8"/>
    <s v="Metro"/>
    <x v="2"/>
    <m/>
    <s v="kg"/>
    <n v="1.17"/>
    <n v="0"/>
  </r>
  <r>
    <s v="FAC-5846"/>
    <s v="13/09/2024"/>
    <x v="8"/>
    <s v="B. Halal Pro"/>
    <x v="6"/>
    <n v="8"/>
    <s v="kg"/>
    <n v="8.8800000000000008"/>
    <n v="71.040000000000006"/>
  </r>
  <r>
    <s v="FAC-5847"/>
    <s v="13/09/2024"/>
    <x v="8"/>
    <s v="B. Halal Pro"/>
    <x v="7"/>
    <n v="12"/>
    <s v="kg"/>
    <n v="7.07"/>
    <n v="84.84"/>
  </r>
  <r>
    <s v="FAC-5848"/>
    <s v="13/09/2024"/>
    <x v="8"/>
    <s v="Boul. Express"/>
    <x v="8"/>
    <n v="10"/>
    <s v="paquet x12"/>
    <n v="5.97"/>
    <n v="59.699999999999996"/>
  </r>
  <r>
    <s v="FAC-5849"/>
    <s v="13/09/2024"/>
    <x v="8"/>
    <s v="Boul. Express"/>
    <x v="9"/>
    <n v="10"/>
    <s v="paquet x10"/>
    <n v="3.99"/>
    <n v="39.900000000000006"/>
  </r>
  <r>
    <s v="FAC-5850"/>
    <s v="14/09/2024"/>
    <x v="8"/>
    <s v="Fromag. Centrale"/>
    <x v="11"/>
    <n v="10"/>
    <s v="kg"/>
    <n v="8.85"/>
    <n v="88.5"/>
  </r>
  <r>
    <s v="FAC-5851"/>
    <s v="16/09/2024"/>
    <x v="8"/>
    <s v="Metro"/>
    <x v="0"/>
    <n v="4"/>
    <s v="pack 24"/>
    <n v="15.2"/>
    <n v="60.8"/>
  </r>
  <r>
    <s v="FAC-5852"/>
    <s v="16/09/2024"/>
    <x v="8"/>
    <s v="Metro"/>
    <x v="1"/>
    <n v="3"/>
    <s v="pack 24"/>
    <n v="13.08"/>
    <n v="39.24"/>
  </r>
  <r>
    <s v="FAC-5853"/>
    <s v="16/09/2024"/>
    <x v="8"/>
    <s v="Metro"/>
    <x v="2"/>
    <n v="4"/>
    <s v="kg"/>
    <n v="1.24"/>
    <n v="4.96"/>
  </r>
  <r>
    <s v="FAC-5854"/>
    <s v="16/09/2024"/>
    <x v="8"/>
    <s v="LEGUMEX"/>
    <x v="3"/>
    <n v="4"/>
    <s v="boite 3kg"/>
    <n v="4.0599999999999996"/>
    <n v="16.239999999999998"/>
  </r>
  <r>
    <s v="FAC-5855"/>
    <s v="16/09/2024"/>
    <x v="8"/>
    <s v="LEGUMEX"/>
    <x v="4"/>
    <n v="4"/>
    <s v="bidon 5L"/>
    <n v="23.11"/>
    <n v="92.44"/>
  </r>
  <r>
    <s v="FAC-5856"/>
    <s v="16/09/2024"/>
    <x v="8"/>
    <s v="LEGUMEX"/>
    <x v="5"/>
    <n v="4"/>
    <s v="seau 5kg"/>
    <n v="10.15"/>
    <n v="40.6"/>
  </r>
  <r>
    <s v="FAC-5857"/>
    <s v="17/09/2024"/>
    <x v="8"/>
    <s v="B. Halal Pro"/>
    <x v="6"/>
    <n v="10"/>
    <s v="kg"/>
    <n v="9.31"/>
    <n v="93.100000000000009"/>
  </r>
  <r>
    <s v="FAC-5858"/>
    <s v="17/09/2024"/>
    <x v="8"/>
    <s v="B. Halal Pro"/>
    <x v="7"/>
    <n v="6"/>
    <s v="kg"/>
    <n v="7.17"/>
    <n v="43.019999999999996"/>
  </r>
  <r>
    <s v="FAC-5859"/>
    <s v="17/09/2024"/>
    <x v="8"/>
    <s v="Boul. Express"/>
    <x v="8"/>
    <n v="5"/>
    <s v="paquet x12"/>
    <n v="5.79"/>
    <n v="28.95"/>
  </r>
  <r>
    <s v="FAC-5860"/>
    <s v="17/09/2024"/>
    <x v="8"/>
    <s v="Boul. Express"/>
    <x v="9"/>
    <n v="8"/>
    <s v="paquet x10"/>
    <n v="3.97"/>
    <n v="31.76"/>
  </r>
  <r>
    <s v="FAC-5861"/>
    <s v="18/09/2024"/>
    <x v="8"/>
    <s v="LEGUMEX"/>
    <x v="3"/>
    <n v="4"/>
    <s v="boite 3kg"/>
    <n v="4.2699999999999996"/>
    <n v="17.079999999999998"/>
  </r>
  <r>
    <s v="FAC-5862"/>
    <s v="18/09/2024"/>
    <x v="8"/>
    <s v="LEGUMEX"/>
    <x v="4"/>
    <n v="6"/>
    <s v="bidon 5L"/>
    <n v="22.32"/>
    <n v="133.92000000000002"/>
  </r>
  <r>
    <s v="FAC-5863"/>
    <s v="18/09/2024"/>
    <x v="8"/>
    <s v="LEGUMEX"/>
    <x v="5"/>
    <n v="10"/>
    <s v="seau 5kg"/>
    <n v="9.77"/>
    <n v="97.699999999999989"/>
  </r>
  <r>
    <s v="FAC-5864"/>
    <s v="18/09/2024"/>
    <x v="8"/>
    <s v="Moulin du Nord"/>
    <x v="10"/>
    <n v="2"/>
    <s v="sac 25kg"/>
    <n v="18.670000000000002"/>
    <n v="37.340000000000003"/>
  </r>
  <r>
    <s v="FAC-5865"/>
    <s v="18/09/2024"/>
    <x v="8"/>
    <s v="Fromag. Centrale"/>
    <x v="11"/>
    <m/>
    <s v="kg"/>
    <n v="8.84"/>
    <n v="0"/>
  </r>
  <r>
    <s v="FAC-5866"/>
    <s v="19/09/2024"/>
    <x v="8"/>
    <s v="Metro"/>
    <x v="0"/>
    <n v="3"/>
    <s v="pack 24"/>
    <n v="15.05"/>
    <n v="45.150000000000006"/>
  </r>
  <r>
    <s v="FAC-5867"/>
    <s v="19/09/2024"/>
    <x v="8"/>
    <s v="Metro"/>
    <x v="1"/>
    <n v="3"/>
    <s v="pack 24"/>
    <n v="13.73"/>
    <n v="41.19"/>
  </r>
  <r>
    <s v="FAC-5868"/>
    <s v="19/09/2024"/>
    <x v="8"/>
    <s v="Metro"/>
    <x v="2"/>
    <n v="5"/>
    <s v="kg"/>
    <n v="1.23"/>
    <n v="6.15"/>
  </r>
  <r>
    <s v="FAC-5869"/>
    <s v="20/09/2024"/>
    <x v="8"/>
    <s v="B. Halal Pro"/>
    <x v="6"/>
    <n v="5"/>
    <s v="kg"/>
    <n v="8.9600000000000009"/>
    <n v="44.800000000000004"/>
  </r>
  <r>
    <s v="FAC-5870"/>
    <s v="20/09/2024"/>
    <x v="8"/>
    <s v="B. Halal Pro"/>
    <x v="7"/>
    <n v="8"/>
    <s v="kg"/>
    <n v="7.63"/>
    <n v="61.04"/>
  </r>
  <r>
    <s v="FAC-5871"/>
    <s v="20/09/2024"/>
    <x v="8"/>
    <s v="Boul. Express"/>
    <x v="8"/>
    <n v="5"/>
    <s v="paquet x12"/>
    <n v="5.83"/>
    <n v="29.15"/>
  </r>
  <r>
    <s v="FAC-5872"/>
    <s v="20/09/2024"/>
    <x v="8"/>
    <s v="Boul. Express"/>
    <x v="9"/>
    <n v="8"/>
    <s v="paquet x10"/>
    <n v="3.82"/>
    <n v="30.56"/>
  </r>
  <r>
    <s v="FAC-5873"/>
    <s v="21/09/2024"/>
    <x v="8"/>
    <s v="Fromag. Centrale"/>
    <x v="11"/>
    <n v="10"/>
    <s v="kg"/>
    <n v="8.83"/>
    <n v="88.3"/>
  </r>
  <r>
    <s v="FAC-5874"/>
    <s v="23/09/2024"/>
    <x v="8"/>
    <s v="Metro"/>
    <x v="0"/>
    <n v="3"/>
    <s v="pack 24"/>
    <n v="14.45"/>
    <n v="43.349999999999994"/>
  </r>
  <r>
    <s v="FAC-5875"/>
    <s v="23/09/2024"/>
    <x v="8"/>
    <s v="Metro"/>
    <x v="1"/>
    <n v="6"/>
    <s v="pack 24"/>
    <n v="13.28"/>
    <n v="79.679999999999993"/>
  </r>
  <r>
    <s v="FAC-5876"/>
    <s v="23/09/2024"/>
    <x v="8"/>
    <s v="Metro"/>
    <x v="2"/>
    <n v="6"/>
    <s v="kg"/>
    <n v="1.25"/>
    <n v="7.5"/>
  </r>
  <r>
    <s v="FAC-5877"/>
    <s v="23/09/2024"/>
    <x v="8"/>
    <s v="LEGUMEX"/>
    <x v="3"/>
    <n v="4"/>
    <s v="boite 3kg"/>
    <n v="4.05"/>
    <n v="16.2"/>
  </r>
  <r>
    <s v="FAC-5878"/>
    <s v="23/09/2024"/>
    <x v="8"/>
    <s v="LEGUMEX"/>
    <x v="4"/>
    <n v="10"/>
    <s v="bidon 5L"/>
    <n v="21.2"/>
    <n v="212"/>
  </r>
  <r>
    <s v="FAC-5879"/>
    <s v="23/09/2024"/>
    <x v="8"/>
    <s v="LEGUMEX"/>
    <x v="5"/>
    <n v="10"/>
    <s v="seau 5kg"/>
    <n v="9.5399999999999991"/>
    <n v="95.399999999999991"/>
  </r>
  <r>
    <s v="FAC-5880"/>
    <s v="24/09/2024"/>
    <x v="8"/>
    <s v="B. Halal Pro"/>
    <x v="6"/>
    <n v="6"/>
    <s v="kg"/>
    <n v="10.33"/>
    <n v="61.980000000000004"/>
  </r>
  <r>
    <s v="FAC-5881"/>
    <s v="24/09/2024"/>
    <x v="8"/>
    <s v="B. Halal Pro"/>
    <x v="7"/>
    <n v="10"/>
    <s v="kg"/>
    <n v="6.75"/>
    <n v="67.5"/>
  </r>
  <r>
    <s v="FAC-5882"/>
    <s v="24/09/2024"/>
    <x v="8"/>
    <s v="Boul. Express"/>
    <x v="8"/>
    <m/>
    <s v="paquet x12"/>
    <n v="5.78"/>
    <n v="0"/>
  </r>
  <r>
    <s v="FAC-5883"/>
    <s v="24/09/2024"/>
    <x v="8"/>
    <s v="Boul. Express"/>
    <x v="9"/>
    <n v="10"/>
    <s v="paquet x10"/>
    <n v="4.05"/>
    <n v="40.5"/>
  </r>
  <r>
    <s v="FAC-5884"/>
    <s v="25/09/2024"/>
    <x v="8"/>
    <s v="LEGUMEX"/>
    <x v="3"/>
    <n v="6"/>
    <s v="boite 3kg"/>
    <n v="4.2300000000000004"/>
    <n v="25.380000000000003"/>
  </r>
  <r>
    <s v="FAC-5885"/>
    <s v="25/09/2024"/>
    <x v="8"/>
    <s v="LEGUMEX"/>
    <x v="4"/>
    <m/>
    <s v="bidon 5L"/>
    <n v="21.33"/>
    <n v="0"/>
  </r>
  <r>
    <s v="FAC-5886"/>
    <s v="25/09/2024"/>
    <x v="8"/>
    <s v="LEGUMEX"/>
    <x v="5"/>
    <n v="10"/>
    <s v="seau 5kg"/>
    <n v="9.9499999999999993"/>
    <n v="99.5"/>
  </r>
  <r>
    <s v="FAC-5887"/>
    <s v="25/09/2024"/>
    <x v="8"/>
    <s v="Moulin du Nord"/>
    <x v="10"/>
    <n v="3"/>
    <s v="sac 25kg"/>
    <n v="17.88"/>
    <n v="53.64"/>
  </r>
  <r>
    <s v="FAC-5888"/>
    <s v="25/09/2024"/>
    <x v="8"/>
    <s v="Fromag. Centrale"/>
    <x v="11"/>
    <n v="4"/>
    <s v="kg"/>
    <n v="9.75"/>
    <n v="39"/>
  </r>
  <r>
    <s v="FAC-5889"/>
    <s v="26/09/2024"/>
    <x v="8"/>
    <s v="Metro"/>
    <x v="0"/>
    <n v="6"/>
    <s v="pack 24"/>
    <n v="14.49"/>
    <n v="86.94"/>
  </r>
  <r>
    <s v="FAC-5890"/>
    <s v="26/09/2024"/>
    <x v="8"/>
    <s v="Metro"/>
    <x v="1"/>
    <n v="6"/>
    <s v="pack 24"/>
    <n v="13.76"/>
    <n v="82.56"/>
  </r>
  <r>
    <s v="FAC-5891"/>
    <s v="26/09/2024"/>
    <x v="8"/>
    <s v="Metro"/>
    <x v="2"/>
    <n v="6"/>
    <s v="kg"/>
    <n v="1.2"/>
    <n v="7.1999999999999993"/>
  </r>
  <r>
    <s v="FAC-5892"/>
    <s v="27/09/2024"/>
    <x v="8"/>
    <s v="B. Halal Pro"/>
    <x v="6"/>
    <m/>
    <s v="kg"/>
    <n v="8.59"/>
    <n v="0"/>
  </r>
  <r>
    <s v="FAC-5893"/>
    <s v="27/09/2024"/>
    <x v="8"/>
    <s v="B. Halal Pro"/>
    <x v="7"/>
    <n v="12"/>
    <s v="kg"/>
    <n v="7.58"/>
    <n v="90.960000000000008"/>
  </r>
  <r>
    <s v="FAC-5894"/>
    <s v="27/09/2024"/>
    <x v="8"/>
    <s v="Boul. Express"/>
    <x v="8"/>
    <n v="8"/>
    <s v="paquet x12"/>
    <n v="5.99"/>
    <n v="47.92"/>
  </r>
  <r>
    <s v="FAC-5895"/>
    <s v="27/09/2024"/>
    <x v="8"/>
    <s v="Boul. Express"/>
    <x v="9"/>
    <n v="10"/>
    <s v="paquet x10"/>
    <n v="4.04"/>
    <n v="40.4"/>
  </r>
  <r>
    <s v="FAC-5896"/>
    <s v="28/09/2024"/>
    <x v="8"/>
    <s v="Fromag. Centrale"/>
    <x v="11"/>
    <n v="8"/>
    <s v="kg"/>
    <n v="9.57"/>
    <n v="76.56"/>
  </r>
  <r>
    <s v="FAC-5897"/>
    <s v="30/09/2024"/>
    <x v="8"/>
    <s v="Metro"/>
    <x v="0"/>
    <n v="6"/>
    <s v="pack 24"/>
    <n v="14.9"/>
    <n v="89.4"/>
  </r>
  <r>
    <s v="FAC-5898"/>
    <s v="30/09/2024"/>
    <x v="8"/>
    <s v="Metro"/>
    <x v="1"/>
    <n v="3"/>
    <s v="pack 24"/>
    <n v="12.92"/>
    <n v="38.76"/>
  </r>
  <r>
    <s v="FAC-5899"/>
    <s v="30/09/2024"/>
    <x v="8"/>
    <s v="Metro"/>
    <x v="2"/>
    <n v="5"/>
    <s v="kg"/>
    <n v="1.2"/>
    <n v="6"/>
  </r>
  <r>
    <s v="FAC-5900"/>
    <s v="30/09/2024"/>
    <x v="8"/>
    <s v="LEGUMEX"/>
    <x v="3"/>
    <n v="8"/>
    <s v="boite 3kg"/>
    <n v="4.29"/>
    <n v="34.32"/>
  </r>
  <r>
    <s v="FAC-5901"/>
    <s v="30/09/2024"/>
    <x v="8"/>
    <s v="LEGUMEX"/>
    <x v="4"/>
    <n v="10"/>
    <s v="bidon 5L"/>
    <n v="23.47"/>
    <n v="234.7"/>
  </r>
  <r>
    <s v="FAC-5902"/>
    <s v="30/09/2024"/>
    <x v="8"/>
    <s v="LEGUMEX"/>
    <x v="5"/>
    <n v="6"/>
    <s v="seau 5kg"/>
    <n v="9.4499999999999993"/>
    <n v="56.699999999999996"/>
  </r>
  <r>
    <s v="FAC-5903"/>
    <s v="01/10/2024"/>
    <x v="9"/>
    <s v="B. Halal Pro"/>
    <x v="6"/>
    <n v="6"/>
    <s v="kg"/>
    <n v="8.85"/>
    <n v="53.099999999999994"/>
  </r>
  <r>
    <s v="FAC-5904"/>
    <s v="01/10/2024"/>
    <x v="9"/>
    <s v="B. Halal Pro"/>
    <x v="7"/>
    <n v="5"/>
    <s v="kg"/>
    <n v="7.5"/>
    <n v="37.5"/>
  </r>
  <r>
    <s v="FAC-5905"/>
    <s v="01/10/2024"/>
    <x v="9"/>
    <s v="Boul. Express"/>
    <x v="8"/>
    <n v="12"/>
    <s v="paquet x12"/>
    <n v="5.95"/>
    <n v="71.400000000000006"/>
  </r>
  <r>
    <s v="FAC-5906"/>
    <s v="01/10/2024"/>
    <x v="9"/>
    <s v="Boul. Express"/>
    <x v="9"/>
    <n v="5"/>
    <s v="paquet x10"/>
    <n v="4.05"/>
    <n v="20.25"/>
  </r>
  <r>
    <s v="FAC-5907"/>
    <s v="02/10/2024"/>
    <x v="9"/>
    <s v="LEGUMEX"/>
    <x v="3"/>
    <n v="10"/>
    <s v="boite 3kg"/>
    <n v="4.29"/>
    <n v="42.9"/>
  </r>
  <r>
    <s v="FAC-5908"/>
    <s v="02/10/2024"/>
    <x v="9"/>
    <s v="LEGUMEX"/>
    <x v="4"/>
    <n v="6"/>
    <s v="bidon 5L"/>
    <n v="23.54"/>
    <n v="141.24"/>
  </r>
  <r>
    <s v="FAC-5909"/>
    <s v="02/10/2024"/>
    <x v="9"/>
    <s v="LEGUMEX"/>
    <x v="5"/>
    <n v="6"/>
    <s v="seau 5kg"/>
    <n v="10.24"/>
    <n v="61.44"/>
  </r>
  <r>
    <s v="FAC-5910"/>
    <s v="02/10/2024"/>
    <x v="9"/>
    <s v="Moulin du Nord"/>
    <x v="10"/>
    <n v="3"/>
    <s v="sac 25kg"/>
    <n v="18.600000000000001"/>
    <n v="55.800000000000004"/>
  </r>
  <r>
    <s v="FAC-5911"/>
    <s v="02/10/2024"/>
    <x v="9"/>
    <s v="Fromag. Centrale"/>
    <x v="11"/>
    <n v="8"/>
    <s v="kg"/>
    <n v="8.76"/>
    <n v="70.08"/>
  </r>
  <r>
    <s v="FAC-5912"/>
    <s v="03/10/2024"/>
    <x v="9"/>
    <s v="Metro"/>
    <x v="0"/>
    <n v="4"/>
    <s v="pack 24"/>
    <n v="14.15"/>
    <n v="56.6"/>
  </r>
  <r>
    <s v="FAC-5913"/>
    <s v="03/10/2024"/>
    <x v="9"/>
    <s v="Metro"/>
    <x v="1"/>
    <n v="5"/>
    <s v="pack 24"/>
    <n v="13.81"/>
    <n v="69.05"/>
  </r>
  <r>
    <s v="FAC-5914"/>
    <s v="03/10/2024"/>
    <x v="9"/>
    <s v="Metro"/>
    <x v="2"/>
    <n v="4"/>
    <s v="kg"/>
    <n v="1.19"/>
    <n v="4.76"/>
  </r>
  <r>
    <s v="FAC-5915"/>
    <s v="04/10/2024"/>
    <x v="9"/>
    <s v="B. Halal Pro"/>
    <x v="6"/>
    <n v="6"/>
    <s v="kg"/>
    <n v="9.93"/>
    <n v="59.58"/>
  </r>
  <r>
    <s v="FAC-5916"/>
    <s v="04/10/2024"/>
    <x v="9"/>
    <s v="B. Halal Pro"/>
    <x v="7"/>
    <n v="8"/>
    <s v="kg"/>
    <n v="7.2"/>
    <n v="57.6"/>
  </r>
  <r>
    <s v="FAC-5917"/>
    <s v="04/10/2024"/>
    <x v="9"/>
    <s v="Boul. Express"/>
    <x v="8"/>
    <n v="12"/>
    <s v="paquet x12"/>
    <n v="5.88"/>
    <n v="70.56"/>
  </r>
  <r>
    <s v="FAC-5918"/>
    <s v="04/10/2024"/>
    <x v="9"/>
    <s v="Boul. Express"/>
    <x v="9"/>
    <n v="12"/>
    <s v="paquet x10"/>
    <n v="4.03"/>
    <n v="48.36"/>
  </r>
  <r>
    <s v="FAC-5919"/>
    <s v="05/10/2024"/>
    <x v="9"/>
    <s v="Fromag. Centrale"/>
    <x v="11"/>
    <n v="6"/>
    <s v="kg"/>
    <n v="8.4"/>
    <n v="50.400000000000006"/>
  </r>
  <r>
    <s v="FAC-5920"/>
    <s v="07/10/2024"/>
    <x v="9"/>
    <s v="Metro"/>
    <x v="0"/>
    <n v="4"/>
    <s v="pack 24"/>
    <n v="14.31"/>
    <n v="57.24"/>
  </r>
  <r>
    <s v="FAC-5921"/>
    <s v="07/10/2024"/>
    <x v="9"/>
    <s v="Metro"/>
    <x v="1"/>
    <n v="5"/>
    <s v="pack 24"/>
    <n v="12.98"/>
    <n v="64.900000000000006"/>
  </r>
  <r>
    <s v="FAC-5922"/>
    <s v="07/10/2024"/>
    <x v="9"/>
    <s v="Metro"/>
    <x v="2"/>
    <n v="4"/>
    <s v="kg"/>
    <n v="1.25"/>
    <n v="5"/>
  </r>
  <r>
    <s v="FAC-5923"/>
    <s v="07/10/2024"/>
    <x v="9"/>
    <s v="LEGUMEX"/>
    <x v="3"/>
    <n v="6"/>
    <s v="boite 3kg"/>
    <n v="4.05"/>
    <n v="24.299999999999997"/>
  </r>
  <r>
    <s v="FAC-5924"/>
    <s v="07/10/2024"/>
    <x v="9"/>
    <s v="LEGUMEX"/>
    <x v="4"/>
    <n v="8"/>
    <s v="bidon 5L"/>
    <n v="21.58"/>
    <n v="172.64"/>
  </r>
  <r>
    <s v="FAC-5925"/>
    <s v="07/10/2024"/>
    <x v="9"/>
    <s v="LEGUMEX"/>
    <x v="5"/>
    <n v="10"/>
    <s v="seau 5kg"/>
    <n v="10.49"/>
    <n v="104.9"/>
  </r>
  <r>
    <s v="FAC-5926"/>
    <s v="08/10/2024"/>
    <x v="9"/>
    <s v="B. Halal Pro"/>
    <x v="6"/>
    <m/>
    <s v="kg"/>
    <n v="10.56"/>
    <n v="0"/>
  </r>
  <r>
    <s v="FAC-5927"/>
    <s v="08/10/2024"/>
    <x v="9"/>
    <s v="B. Halal Pro"/>
    <x v="7"/>
    <n v="10"/>
    <s v="kg"/>
    <n v="6.86"/>
    <n v="68.600000000000009"/>
  </r>
  <r>
    <s v="FAC-5928"/>
    <s v="08/10/2024"/>
    <x v="9"/>
    <s v="Boul. Express"/>
    <x v="8"/>
    <n v="8"/>
    <s v="paquet x12"/>
    <n v="5.95"/>
    <n v="47.6"/>
  </r>
  <r>
    <s v="FAC-5929"/>
    <s v="08/10/2024"/>
    <x v="9"/>
    <s v="Boul. Express"/>
    <x v="9"/>
    <n v="8"/>
    <s v="paquet x10"/>
    <n v="3.89"/>
    <n v="31.12"/>
  </r>
  <r>
    <s v="FAC-5930"/>
    <s v="09/10/2024"/>
    <x v="9"/>
    <s v="LEGUMEX"/>
    <x v="3"/>
    <n v="6"/>
    <s v="boite 3kg"/>
    <n v="4.09"/>
    <n v="24.54"/>
  </r>
  <r>
    <s v="FAC-5931"/>
    <s v="09/10/2024"/>
    <x v="9"/>
    <s v="LEGUMEX"/>
    <x v="4"/>
    <n v="10"/>
    <s v="bidon 5L"/>
    <n v="21.98"/>
    <n v="219.8"/>
  </r>
  <r>
    <s v="FAC-5932"/>
    <s v="09/10/2024"/>
    <x v="9"/>
    <s v="LEGUMEX"/>
    <x v="5"/>
    <m/>
    <s v="seau 5kg"/>
    <n v="9.48"/>
    <n v="0"/>
  </r>
  <r>
    <s v="FAC-5933"/>
    <s v="09/10/2024"/>
    <x v="9"/>
    <s v="Moulin du Nord"/>
    <x v="10"/>
    <n v="2"/>
    <s v="sac 25kg"/>
    <n v="18.940000000000001"/>
    <n v="37.880000000000003"/>
  </r>
  <r>
    <s v="FAC-5934"/>
    <s v="09/10/2024"/>
    <x v="9"/>
    <s v="Fromag. Centrale"/>
    <x v="11"/>
    <n v="8"/>
    <s v="kg"/>
    <n v="9.2200000000000006"/>
    <n v="73.760000000000005"/>
  </r>
  <r>
    <s v="FAC-5935"/>
    <s v="10/10/2024"/>
    <x v="9"/>
    <s v="Metro"/>
    <x v="0"/>
    <n v="5"/>
    <s v="pack 24"/>
    <n v="14.06"/>
    <n v="70.3"/>
  </r>
  <r>
    <s v="FAC-5936"/>
    <s v="10/10/2024"/>
    <x v="9"/>
    <s v="Metro"/>
    <x v="1"/>
    <n v="4"/>
    <s v="pack 24"/>
    <n v="13.94"/>
    <n v="55.76"/>
  </r>
  <r>
    <s v="FAC-5937"/>
    <s v="10/10/2024"/>
    <x v="9"/>
    <s v="Metro"/>
    <x v="2"/>
    <n v="4"/>
    <s v="kg"/>
    <n v="1.21"/>
    <n v="4.84"/>
  </r>
  <r>
    <s v="FAC-5938"/>
    <s v="11/10/2024"/>
    <x v="9"/>
    <s v="B. Halal Pro"/>
    <x v="6"/>
    <n v="6"/>
    <s v="kg"/>
    <n v="9.16"/>
    <n v="54.96"/>
  </r>
  <r>
    <s v="FAC-5939"/>
    <s v="11/10/2024"/>
    <x v="9"/>
    <s v="B. Halal Pro"/>
    <x v="7"/>
    <n v="6"/>
    <s v="kg"/>
    <n v="7.04"/>
    <n v="42.24"/>
  </r>
  <r>
    <s v="FAC-5940"/>
    <s v="11/10/2024"/>
    <x v="9"/>
    <s v="Boul. Express"/>
    <x v="8"/>
    <n v="5"/>
    <s v="paquet x12"/>
    <n v="6.03"/>
    <n v="30.150000000000002"/>
  </r>
  <r>
    <s v="FAC-5941"/>
    <s v="11/10/2024"/>
    <x v="9"/>
    <s v="Boul. Express"/>
    <x v="9"/>
    <n v="8"/>
    <s v="paquet x10"/>
    <n v="3.93"/>
    <n v="31.44"/>
  </r>
  <r>
    <s v="FAC-5942"/>
    <s v="12/10/2024"/>
    <x v="9"/>
    <s v="Fromag. Centrale"/>
    <x v="11"/>
    <n v="4"/>
    <s v="kg"/>
    <n v="8.91"/>
    <n v="35.64"/>
  </r>
  <r>
    <s v="FAC-5943"/>
    <s v="14/10/2024"/>
    <x v="9"/>
    <s v="Metro"/>
    <x v="0"/>
    <n v="5"/>
    <s v="pack 24"/>
    <n v="14"/>
    <n v="70"/>
  </r>
  <r>
    <s v="FAC-5944"/>
    <s v="14/10/2024"/>
    <x v="9"/>
    <s v="Metro"/>
    <x v="1"/>
    <n v="6"/>
    <s v="pack 24"/>
    <n v="13.38"/>
    <n v="80.28"/>
  </r>
  <r>
    <s v="FAC-5945"/>
    <s v="14/10/2024"/>
    <x v="9"/>
    <s v="Metro"/>
    <x v="2"/>
    <n v="5"/>
    <s v="kg"/>
    <n v="1.22"/>
    <n v="6.1"/>
  </r>
  <r>
    <s v="FAC-5946"/>
    <s v="14/10/2024"/>
    <x v="9"/>
    <s v="LEGUMEX"/>
    <x v="3"/>
    <n v="4"/>
    <s v="boite 3kg"/>
    <n v="4.5199999999999996"/>
    <n v="18.079999999999998"/>
  </r>
  <r>
    <s v="FAC-5947"/>
    <s v="14/10/2024"/>
    <x v="9"/>
    <s v="LEGUMEX"/>
    <x v="4"/>
    <n v="6"/>
    <s v="bidon 5L"/>
    <n v="22.82"/>
    <n v="136.92000000000002"/>
  </r>
  <r>
    <s v="FAC-5948"/>
    <s v="14/10/2024"/>
    <x v="9"/>
    <s v="LEGUMEX"/>
    <x v="5"/>
    <n v="6"/>
    <s v="seau 5kg"/>
    <n v="10.37"/>
    <n v="62.22"/>
  </r>
  <r>
    <s v="FAC-5949"/>
    <s v="15/10/2024"/>
    <x v="9"/>
    <s v="B. Halal Pro"/>
    <x v="6"/>
    <n v="5"/>
    <s v="kg"/>
    <n v="9.83"/>
    <n v="49.15"/>
  </r>
  <r>
    <s v="FAC-5950"/>
    <s v="15/10/2024"/>
    <x v="9"/>
    <s v="B. Halal Pro"/>
    <x v="7"/>
    <m/>
    <s v="kg"/>
    <n v="6.65"/>
    <n v="0"/>
  </r>
  <r>
    <s v="FAC-5951"/>
    <s v="15/10/2024"/>
    <x v="9"/>
    <s v="Boul. Express"/>
    <x v="8"/>
    <n v="10"/>
    <s v="paquet x12"/>
    <n v="5.7"/>
    <n v="57"/>
  </r>
  <r>
    <s v="FAC-5952"/>
    <s v="15/10/2024"/>
    <x v="9"/>
    <s v="Boul. Express"/>
    <x v="9"/>
    <n v="12"/>
    <s v="paquet x10"/>
    <n v="4.04"/>
    <n v="48.480000000000004"/>
  </r>
  <r>
    <s v="FAC-5953"/>
    <s v="16/10/2024"/>
    <x v="9"/>
    <s v="LEGUMEX"/>
    <x v="3"/>
    <n v="4"/>
    <s v="boite 3kg"/>
    <n v="4.2300000000000004"/>
    <n v="16.920000000000002"/>
  </r>
  <r>
    <s v="FAC-5954"/>
    <s v="16/10/2024"/>
    <x v="9"/>
    <s v="LEGUMEX"/>
    <x v="4"/>
    <n v="4"/>
    <s v="bidon 5L"/>
    <n v="22.43"/>
    <n v="89.72"/>
  </r>
  <r>
    <s v="FAC-5955"/>
    <s v="16/10/2024"/>
    <x v="9"/>
    <s v="LEGUMEX"/>
    <x v="5"/>
    <n v="4"/>
    <s v="seau 5kg"/>
    <n v="10.199999999999999"/>
    <n v="40.799999999999997"/>
  </r>
  <r>
    <s v="FAC-5956"/>
    <s v="16/10/2024"/>
    <x v="9"/>
    <s v="Moulin du Nord"/>
    <x v="10"/>
    <n v="4"/>
    <s v="sac 25kg"/>
    <n v="18.239999999999998"/>
    <n v="72.959999999999994"/>
  </r>
  <r>
    <s v="FAC-5957"/>
    <s v="16/10/2024"/>
    <x v="9"/>
    <s v="Fromag. Centrale"/>
    <x v="11"/>
    <n v="10"/>
    <s v="kg"/>
    <n v="8.77"/>
    <n v="87.699999999999989"/>
  </r>
  <r>
    <s v="FAC-5958"/>
    <s v="17/10/2024"/>
    <x v="9"/>
    <s v="Metro"/>
    <x v="0"/>
    <n v="6"/>
    <s v="pack 24"/>
    <n v="14.17"/>
    <n v="85.02"/>
  </r>
  <r>
    <s v="FAC-5959"/>
    <s v="17/10/2024"/>
    <x v="9"/>
    <s v="Metro"/>
    <x v="1"/>
    <n v="5"/>
    <s v="pack 24"/>
    <n v="13.94"/>
    <n v="69.7"/>
  </r>
  <r>
    <s v="FAC-5960"/>
    <s v="17/10/2024"/>
    <x v="9"/>
    <s v="Metro"/>
    <x v="2"/>
    <n v="3"/>
    <s v="kg"/>
    <n v="1.22"/>
    <n v="3.66"/>
  </r>
  <r>
    <s v="FAC-5961"/>
    <s v="18/10/2024"/>
    <x v="9"/>
    <s v="B. Halal Pro"/>
    <x v="6"/>
    <n v="12"/>
    <s v="kg"/>
    <n v="8.4600000000000009"/>
    <n v="101.52000000000001"/>
  </r>
  <r>
    <s v="FAC-5962"/>
    <s v="18/10/2024"/>
    <x v="9"/>
    <s v="B. Halal Pro"/>
    <x v="7"/>
    <n v="8"/>
    <s v="kg"/>
    <n v="6.98"/>
    <n v="55.84"/>
  </r>
  <r>
    <s v="FAC-5963"/>
    <s v="18/10/2024"/>
    <x v="9"/>
    <s v="Boul. Express"/>
    <x v="8"/>
    <n v="8"/>
    <s v="paquet x12"/>
    <n v="5.74"/>
    <n v="45.92"/>
  </r>
  <r>
    <s v="FAC-5964"/>
    <s v="18/10/2024"/>
    <x v="9"/>
    <s v="Boul. Express"/>
    <x v="9"/>
    <n v="8"/>
    <s v="paquet x10"/>
    <n v="3.87"/>
    <n v="30.96"/>
  </r>
  <r>
    <s v="FAC-5965"/>
    <s v="19/10/2024"/>
    <x v="9"/>
    <s v="Fromag. Centrale"/>
    <x v="11"/>
    <n v="10"/>
    <s v="kg"/>
    <n v="9.58"/>
    <n v="95.8"/>
  </r>
  <r>
    <s v="FAC-5966"/>
    <s v="21/10/2024"/>
    <x v="9"/>
    <s v="Metro"/>
    <x v="0"/>
    <n v="5"/>
    <s v="pack 24"/>
    <n v="14.84"/>
    <n v="74.2"/>
  </r>
  <r>
    <s v="FAC-5967"/>
    <s v="21/10/2024"/>
    <x v="9"/>
    <s v="Metro"/>
    <x v="1"/>
    <n v="6"/>
    <s v="pack 24"/>
    <n v="13.93"/>
    <n v="83.58"/>
  </r>
  <r>
    <s v="FAC-5968"/>
    <s v="21/10/2024"/>
    <x v="9"/>
    <s v="Metro"/>
    <x v="2"/>
    <n v="3"/>
    <s v="kg"/>
    <n v="1.19"/>
    <n v="3.57"/>
  </r>
  <r>
    <s v="FAC-5969"/>
    <s v="21/10/2024"/>
    <x v="9"/>
    <s v="LEGUMEX"/>
    <x v="3"/>
    <n v="10"/>
    <s v="boite 3kg"/>
    <n v="4.16"/>
    <n v="41.6"/>
  </r>
  <r>
    <s v="FAC-5970"/>
    <s v="21/10/2024"/>
    <x v="9"/>
    <s v="LEGUMEX"/>
    <x v="4"/>
    <n v="6"/>
    <s v="bidon 5L"/>
    <n v="22.88"/>
    <n v="137.28"/>
  </r>
  <r>
    <s v="FAC-5971"/>
    <s v="21/10/2024"/>
    <x v="9"/>
    <s v="LEGUMEX"/>
    <x v="5"/>
    <n v="10"/>
    <s v="seau 5kg"/>
    <n v="10.34"/>
    <n v="103.4"/>
  </r>
  <r>
    <s v="FAC-5972"/>
    <s v="22/10/2024"/>
    <x v="9"/>
    <s v="B. Halal Pro"/>
    <x v="6"/>
    <n v="6"/>
    <s v="kg"/>
    <n v="8.92"/>
    <n v="53.519999999999996"/>
  </r>
  <r>
    <s v="FAC-5973"/>
    <s v="22/10/2024"/>
    <x v="9"/>
    <s v="B. Halal Pro"/>
    <x v="7"/>
    <n v="8"/>
    <s v="kg"/>
    <n v="6.94"/>
    <n v="55.52"/>
  </r>
  <r>
    <s v="FAC-5974"/>
    <s v="22/10/2024"/>
    <x v="9"/>
    <s v="Boul. Express"/>
    <x v="8"/>
    <n v="12"/>
    <s v="paquet x12"/>
    <n v="5.99"/>
    <n v="71.88"/>
  </r>
  <r>
    <s v="FAC-5975"/>
    <s v="22/10/2024"/>
    <x v="9"/>
    <s v="Boul. Express"/>
    <x v="9"/>
    <n v="5"/>
    <s v="paquet x10"/>
    <n v="3.94"/>
    <n v="19.7"/>
  </r>
  <r>
    <s v="FAC-5976"/>
    <s v="23/10/2024"/>
    <x v="9"/>
    <s v="LEGUMEX"/>
    <x v="3"/>
    <n v="6"/>
    <s v="boite 3kg"/>
    <n v="4.45"/>
    <n v="26.700000000000003"/>
  </r>
  <r>
    <s v="FAC-5977"/>
    <s v="23/10/2024"/>
    <x v="9"/>
    <s v="LEGUMEX"/>
    <x v="4"/>
    <n v="4"/>
    <s v="bidon 5L"/>
    <n v="21.65"/>
    <n v="86.6"/>
  </r>
  <r>
    <s v="FAC-5978"/>
    <s v="23/10/2024"/>
    <x v="9"/>
    <s v="LEGUMEX"/>
    <x v="5"/>
    <n v="4"/>
    <s v="seau 5kg"/>
    <n v="10.39"/>
    <n v="41.56"/>
  </r>
  <r>
    <s v="FAC-5979"/>
    <s v="23/10/2024"/>
    <x v="9"/>
    <s v="Moulin du Nord"/>
    <x v="10"/>
    <n v="2"/>
    <s v="sac 25kg"/>
    <n v="19.04"/>
    <n v="38.08"/>
  </r>
  <r>
    <s v="FAC-5980"/>
    <s v="23/10/2024"/>
    <x v="9"/>
    <s v="Fromag. Centrale"/>
    <x v="11"/>
    <n v="10"/>
    <s v="kg"/>
    <n v="9.14"/>
    <n v="91.4"/>
  </r>
  <r>
    <s v="FAC-5981"/>
    <s v="24/10/2024"/>
    <x v="9"/>
    <s v="Metro"/>
    <x v="0"/>
    <n v="5"/>
    <s v="pack 24"/>
    <n v="14.48"/>
    <n v="72.400000000000006"/>
  </r>
  <r>
    <s v="FAC-5982"/>
    <s v="24/10/2024"/>
    <x v="9"/>
    <s v="Metro"/>
    <x v="1"/>
    <n v="5"/>
    <s v="pack 24"/>
    <n v="12.96"/>
    <n v="64.800000000000011"/>
  </r>
  <r>
    <s v="FAC-5983"/>
    <s v="24/10/2024"/>
    <x v="9"/>
    <s v="Metro"/>
    <x v="2"/>
    <m/>
    <s v="kg"/>
    <n v="1.2"/>
    <n v="0"/>
  </r>
  <r>
    <s v="FAC-5984"/>
    <s v="25/10/2024"/>
    <x v="9"/>
    <s v="B. Halal Pro"/>
    <x v="6"/>
    <n v="12"/>
    <s v="kg"/>
    <n v="10.29"/>
    <n v="123.47999999999999"/>
  </r>
  <r>
    <s v="FAC-5985"/>
    <s v="25/10/2024"/>
    <x v="9"/>
    <s v="B. Halal Pro"/>
    <x v="7"/>
    <n v="6"/>
    <s v="kg"/>
    <n v="7.14"/>
    <n v="42.839999999999996"/>
  </r>
  <r>
    <s v="FAC-5986"/>
    <s v="25/10/2024"/>
    <x v="9"/>
    <s v="Boul. Express"/>
    <x v="8"/>
    <n v="12"/>
    <s v="paquet x12"/>
    <n v="5.94"/>
    <n v="71.28"/>
  </r>
  <r>
    <s v="FAC-5987"/>
    <s v="25/10/2024"/>
    <x v="9"/>
    <s v="Boul. Express"/>
    <x v="9"/>
    <n v="12"/>
    <s v="paquet x10"/>
    <n v="3.87"/>
    <n v="46.44"/>
  </r>
  <r>
    <s v="FAC-5988"/>
    <s v="26/10/2024"/>
    <x v="9"/>
    <s v="Fromag. Centrale"/>
    <x v="11"/>
    <n v="4"/>
    <s v="kg"/>
    <n v="8.89"/>
    <n v="35.56"/>
  </r>
  <r>
    <s v="FAC-5989"/>
    <s v="28/10/2024"/>
    <x v="9"/>
    <s v="Metro"/>
    <x v="0"/>
    <n v="5"/>
    <s v="pack 24"/>
    <n v="14.47"/>
    <n v="72.350000000000009"/>
  </r>
  <r>
    <s v="FAC-5990"/>
    <s v="28/10/2024"/>
    <x v="9"/>
    <s v="Metro"/>
    <x v="1"/>
    <n v="3"/>
    <s v="pack 24"/>
    <n v="13.97"/>
    <n v="41.910000000000004"/>
  </r>
  <r>
    <s v="FAC-5991"/>
    <s v="28/10/2024"/>
    <x v="9"/>
    <s v="Metro"/>
    <x v="2"/>
    <n v="5"/>
    <s v="kg"/>
    <n v="1.25"/>
    <n v="6.25"/>
  </r>
  <r>
    <s v="FAC-5992"/>
    <s v="28/10/2024"/>
    <x v="9"/>
    <s v="LEGUMEX"/>
    <x v="3"/>
    <n v="10"/>
    <s v="boite 3kg"/>
    <n v="4.2"/>
    <n v="42"/>
  </r>
  <r>
    <s v="FAC-5993"/>
    <s v="28/10/2024"/>
    <x v="9"/>
    <s v="LEGUMEX"/>
    <x v="4"/>
    <n v="10"/>
    <s v="bidon 5L"/>
    <n v="22.38"/>
    <n v="223.79999999999998"/>
  </r>
  <r>
    <s v="FAC-5994"/>
    <s v="28/10/2024"/>
    <x v="9"/>
    <s v="LEGUMEX"/>
    <x v="5"/>
    <n v="8"/>
    <s v="seau 5kg"/>
    <n v="9.9700000000000006"/>
    <n v="79.760000000000005"/>
  </r>
  <r>
    <s v="FAC-5995"/>
    <s v="29/10/2024"/>
    <x v="9"/>
    <s v="B. Halal Pro"/>
    <x v="6"/>
    <n v="10"/>
    <s v="kg"/>
    <n v="9.4700000000000006"/>
    <n v="94.7"/>
  </r>
  <r>
    <s v="FAC-5996"/>
    <s v="29/10/2024"/>
    <x v="9"/>
    <s v="B. Halal Pro"/>
    <x v="7"/>
    <n v="6"/>
    <s v="kg"/>
    <n v="7.2"/>
    <n v="43.2"/>
  </r>
  <r>
    <s v="FAC-5997"/>
    <s v="29/10/2024"/>
    <x v="9"/>
    <s v="Boul. Express"/>
    <x v="8"/>
    <n v="10"/>
    <s v="paquet x12"/>
    <n v="5.71"/>
    <n v="57.1"/>
  </r>
  <r>
    <s v="FAC-5998"/>
    <s v="29/10/2024"/>
    <x v="9"/>
    <s v="Boul. Express"/>
    <x v="9"/>
    <n v="5"/>
    <s v="paquet x10"/>
    <n v="3.86"/>
    <n v="19.3"/>
  </r>
  <r>
    <s v="FAC-5999"/>
    <s v="30/10/2024"/>
    <x v="9"/>
    <s v="LEGUMEX"/>
    <x v="3"/>
    <n v="4"/>
    <s v="boite 3kg"/>
    <n v="4.43"/>
    <n v="17.72"/>
  </r>
  <r>
    <s v="FAC-6000"/>
    <s v="30/10/2024"/>
    <x v="9"/>
    <s v="LEGUMEX"/>
    <x v="4"/>
    <n v="6"/>
    <s v="bidon 5L"/>
    <n v="22.27"/>
    <n v="133.62"/>
  </r>
  <r>
    <s v="FAC-6001"/>
    <s v="30/10/2024"/>
    <x v="9"/>
    <s v="LEGUMEX"/>
    <x v="5"/>
    <n v="4"/>
    <s v="seau 5kg"/>
    <n v="9.34"/>
    <n v="37.36"/>
  </r>
  <r>
    <s v="FAC-6002"/>
    <s v="30/10/2024"/>
    <x v="9"/>
    <s v="Moulin du Nord"/>
    <x v="10"/>
    <n v="4"/>
    <s v="sac 25kg"/>
    <n v="17.98"/>
    <n v="71.92"/>
  </r>
  <r>
    <s v="FAC-6003"/>
    <s v="30/10/2024"/>
    <x v="9"/>
    <s v="Fromag. Centrale"/>
    <x v="11"/>
    <n v="8"/>
    <s v="kg"/>
    <n v="8.4499999999999993"/>
    <n v="67.599999999999994"/>
  </r>
  <r>
    <s v="FAC-6004"/>
    <s v="31/10/2024"/>
    <x v="9"/>
    <s v="Metro"/>
    <x v="0"/>
    <n v="6"/>
    <s v="pack 24"/>
    <n v="14.74"/>
    <n v="88.44"/>
  </r>
  <r>
    <s v="FAC-6005"/>
    <s v="31/10/2024"/>
    <x v="9"/>
    <s v="Metro"/>
    <x v="1"/>
    <n v="5"/>
    <s v="pack 24"/>
    <n v="13.93"/>
    <n v="69.650000000000006"/>
  </r>
  <r>
    <s v="FAC-6006"/>
    <s v="31/10/2024"/>
    <x v="9"/>
    <s v="Metro"/>
    <x v="2"/>
    <n v="6"/>
    <s v="kg"/>
    <n v="1.26"/>
    <n v="7.5600000000000005"/>
  </r>
  <r>
    <s v="FAC-6007"/>
    <s v="01/11/2024"/>
    <x v="10"/>
    <s v="B. Halal Pro"/>
    <x v="6"/>
    <n v="12"/>
    <s v="kg"/>
    <n v="9.73"/>
    <n v="116.76"/>
  </r>
  <r>
    <s v="FAC-6008"/>
    <s v="01/11/2024"/>
    <x v="10"/>
    <s v="B. Halal Pro"/>
    <x v="7"/>
    <n v="12"/>
    <s v="kg"/>
    <n v="7.34"/>
    <n v="88.08"/>
  </r>
  <r>
    <s v="FAC-6009"/>
    <s v="01/11/2024"/>
    <x v="10"/>
    <s v="Boul. Express"/>
    <x v="8"/>
    <n v="5"/>
    <s v="paquet x12"/>
    <n v="6"/>
    <n v="30"/>
  </r>
  <r>
    <s v="FAC-6010"/>
    <s v="01/11/2024"/>
    <x v="10"/>
    <s v="Boul. Express"/>
    <x v="9"/>
    <n v="5"/>
    <s v="paquet x10"/>
    <n v="3.85"/>
    <n v="19.25"/>
  </r>
  <r>
    <s v="FAC-6011"/>
    <s v="02/11/2024"/>
    <x v="10"/>
    <s v="Fromag. Centrale"/>
    <x v="11"/>
    <n v="4"/>
    <s v="kg"/>
    <n v="9.5399999999999991"/>
    <n v="38.159999999999997"/>
  </r>
  <r>
    <s v="FAC-6012"/>
    <s v="04/11/2024"/>
    <x v="10"/>
    <s v="Metro"/>
    <x v="0"/>
    <n v="3"/>
    <s v="pack 24"/>
    <n v="15.11"/>
    <n v="45.33"/>
  </r>
  <r>
    <s v="FAC-6013"/>
    <s v="04/11/2024"/>
    <x v="10"/>
    <s v="Metro"/>
    <x v="1"/>
    <n v="3"/>
    <s v="pack 24"/>
    <n v="13.38"/>
    <n v="40.14"/>
  </r>
  <r>
    <s v="FAC-6014"/>
    <s v="04/11/2024"/>
    <x v="10"/>
    <s v="Metro"/>
    <x v="2"/>
    <n v="3"/>
    <s v="kg"/>
    <n v="1.26"/>
    <n v="3.7800000000000002"/>
  </r>
  <r>
    <s v="FAC-6015"/>
    <s v="04/11/2024"/>
    <x v="10"/>
    <s v="LEGUMEX"/>
    <x v="3"/>
    <n v="8"/>
    <s v="boite 3kg"/>
    <n v="4.28"/>
    <n v="34.24"/>
  </r>
  <r>
    <s v="FAC-6016"/>
    <s v="04/11/2024"/>
    <x v="10"/>
    <s v="LEGUMEX"/>
    <x v="4"/>
    <n v="10"/>
    <s v="bidon 5L"/>
    <n v="21.56"/>
    <n v="215.6"/>
  </r>
  <r>
    <s v="FAC-6017"/>
    <s v="04/11/2024"/>
    <x v="10"/>
    <s v="LEGUMEX"/>
    <x v="5"/>
    <n v="4"/>
    <s v="seau 5kg"/>
    <n v="9.76"/>
    <n v="39.04"/>
  </r>
  <r>
    <s v="FAC-6018"/>
    <s v="05/11/2024"/>
    <x v="10"/>
    <s v="B. Halal Pro"/>
    <x v="6"/>
    <n v="6"/>
    <s v="kg"/>
    <n v="9.4499999999999993"/>
    <n v="56.699999999999996"/>
  </r>
  <r>
    <s v="FAC-6019"/>
    <s v="05/11/2024"/>
    <x v="10"/>
    <s v="B. Halal Pro"/>
    <x v="7"/>
    <n v="12"/>
    <s v="kg"/>
    <n v="6.95"/>
    <n v="83.4"/>
  </r>
  <r>
    <s v="FAC-6020"/>
    <s v="05/11/2024"/>
    <x v="10"/>
    <s v="Boul. Express"/>
    <x v="8"/>
    <n v="5"/>
    <s v="paquet x12"/>
    <n v="5.69"/>
    <n v="28.450000000000003"/>
  </r>
  <r>
    <s v="FAC-6021"/>
    <s v="05/11/2024"/>
    <x v="10"/>
    <s v="Boul. Express"/>
    <x v="9"/>
    <n v="12"/>
    <s v="paquet x10"/>
    <n v="3.94"/>
    <n v="47.28"/>
  </r>
  <r>
    <s v="FAC-6022"/>
    <s v="06/11/2024"/>
    <x v="10"/>
    <s v="LEGUMEX"/>
    <x v="3"/>
    <n v="4"/>
    <s v="boite 3kg"/>
    <n v="4.21"/>
    <n v="16.84"/>
  </r>
  <r>
    <s v="FAC-6023"/>
    <s v="06/11/2024"/>
    <x v="10"/>
    <s v="LEGUMEX"/>
    <x v="4"/>
    <n v="10"/>
    <s v="bidon 5L"/>
    <n v="21.65"/>
    <n v="216.5"/>
  </r>
  <r>
    <s v="FAC-6024"/>
    <s v="06/11/2024"/>
    <x v="10"/>
    <s v="LEGUMEX"/>
    <x v="5"/>
    <n v="10"/>
    <s v="seau 5kg"/>
    <n v="10.57"/>
    <n v="105.7"/>
  </r>
  <r>
    <s v="FAC-6025"/>
    <s v="06/11/2024"/>
    <x v="10"/>
    <s v="Moulin du Nord"/>
    <x v="10"/>
    <n v="4"/>
    <s v="sac 25kg"/>
    <n v="18.68"/>
    <n v="74.72"/>
  </r>
  <r>
    <s v="FAC-6026"/>
    <s v="06/11/2024"/>
    <x v="10"/>
    <s v="Fromag. Centrale"/>
    <x v="11"/>
    <n v="10"/>
    <s v="kg"/>
    <n v="9.16"/>
    <n v="91.6"/>
  </r>
  <r>
    <s v="FAC-6027"/>
    <s v="07/11/2024"/>
    <x v="10"/>
    <s v="Metro"/>
    <x v="0"/>
    <n v="5"/>
    <s v="pack 24"/>
    <n v="14.97"/>
    <n v="74.850000000000009"/>
  </r>
  <r>
    <s v="FAC-6028"/>
    <s v="07/11/2024"/>
    <x v="10"/>
    <s v="Metro"/>
    <x v="1"/>
    <n v="3"/>
    <s v="pack 24"/>
    <n v="13.69"/>
    <n v="41.07"/>
  </r>
  <r>
    <s v="FAC-6029"/>
    <s v="07/11/2024"/>
    <x v="10"/>
    <s v="Metro"/>
    <x v="2"/>
    <n v="3"/>
    <s v="kg"/>
    <n v="1.19"/>
    <n v="3.57"/>
  </r>
  <r>
    <s v="FAC-6030"/>
    <s v="08/11/2024"/>
    <x v="10"/>
    <s v="B. Halal Pro"/>
    <x v="6"/>
    <n v="12"/>
    <s v="kg"/>
    <n v="10.19"/>
    <n v="122.28"/>
  </r>
  <r>
    <s v="FAC-6031"/>
    <s v="08/11/2024"/>
    <x v="10"/>
    <s v="B. Halal Pro"/>
    <x v="7"/>
    <n v="5"/>
    <s v="kg"/>
    <n v="6.81"/>
    <n v="34.049999999999997"/>
  </r>
  <r>
    <s v="FAC-6032"/>
    <s v="08/11/2024"/>
    <x v="10"/>
    <s v="Boul. Express"/>
    <x v="8"/>
    <n v="12"/>
    <s v="paquet x12"/>
    <n v="5.85"/>
    <n v="70.199999999999989"/>
  </r>
  <r>
    <s v="FAC-6033"/>
    <s v="08/11/2024"/>
    <x v="10"/>
    <s v="Boul. Express"/>
    <x v="9"/>
    <n v="5"/>
    <s v="paquet x10"/>
    <n v="3.87"/>
    <n v="19.350000000000001"/>
  </r>
  <r>
    <s v="FAC-6034"/>
    <s v="09/11/2024"/>
    <x v="10"/>
    <s v="Fromag. Centrale"/>
    <x v="11"/>
    <n v="10"/>
    <s v="kg"/>
    <n v="9.69"/>
    <n v="96.899999999999991"/>
  </r>
  <r>
    <s v="FAC-6035"/>
    <s v="11/11/2024"/>
    <x v="10"/>
    <s v="Metro"/>
    <x v="0"/>
    <n v="5"/>
    <s v="pack 24"/>
    <n v="14.89"/>
    <n v="74.45"/>
  </r>
  <r>
    <s v="FAC-6036"/>
    <s v="11/11/2024"/>
    <x v="10"/>
    <s v="Metro"/>
    <x v="1"/>
    <n v="6"/>
    <s v="pack 24"/>
    <n v="13.33"/>
    <n v="79.98"/>
  </r>
  <r>
    <s v="FAC-6037"/>
    <s v="11/11/2024"/>
    <x v="10"/>
    <s v="Metro"/>
    <x v="2"/>
    <n v="5"/>
    <s v="kg"/>
    <n v="1.19"/>
    <n v="5.9499999999999993"/>
  </r>
  <r>
    <s v="FAC-6038"/>
    <s v="11/11/2024"/>
    <x v="10"/>
    <s v="LEGUMEX"/>
    <x v="3"/>
    <n v="4"/>
    <s v="boite 3kg"/>
    <n v="4.33"/>
    <n v="17.32"/>
  </r>
  <r>
    <s v="FAC-6039"/>
    <s v="11/11/2024"/>
    <x v="10"/>
    <s v="LEGUMEX"/>
    <x v="4"/>
    <n v="4"/>
    <s v="bidon 5L"/>
    <n v="23.69"/>
    <n v="94.76"/>
  </r>
  <r>
    <s v="FAC-6040"/>
    <s v="11/11/2024"/>
    <x v="10"/>
    <s v="LEGUMEX"/>
    <x v="5"/>
    <n v="10"/>
    <s v="seau 5kg"/>
    <n v="9.76"/>
    <n v="97.6"/>
  </r>
  <r>
    <s v="FAC-6041"/>
    <s v="12/11/2024"/>
    <x v="10"/>
    <s v="B. Halal Pro"/>
    <x v="6"/>
    <n v="5"/>
    <s v="kg"/>
    <n v="9.5399999999999991"/>
    <n v="47.699999999999996"/>
  </r>
  <r>
    <s v="FAC-6042"/>
    <s v="12/11/2024"/>
    <x v="10"/>
    <s v="B. Halal Pro"/>
    <x v="7"/>
    <n v="12"/>
    <s v="kg"/>
    <n v="7.46"/>
    <n v="89.52"/>
  </r>
  <r>
    <s v="FAC-6043"/>
    <s v="12/11/2024"/>
    <x v="10"/>
    <s v="Boul. Express"/>
    <x v="8"/>
    <n v="10"/>
    <s v="paquet x12"/>
    <n v="5.8"/>
    <n v="58"/>
  </r>
  <r>
    <s v="FAC-6044"/>
    <s v="12/11/2024"/>
    <x v="10"/>
    <s v="Boul. Express"/>
    <x v="9"/>
    <n v="12"/>
    <s v="paquet x10"/>
    <n v="3.93"/>
    <n v="47.160000000000004"/>
  </r>
  <r>
    <s v="FAC-6045"/>
    <s v="13/11/2024"/>
    <x v="10"/>
    <s v="LEGUMEX"/>
    <x v="3"/>
    <n v="4"/>
    <s v="boite 3kg"/>
    <n v="4.09"/>
    <n v="16.36"/>
  </r>
  <r>
    <s v="FAC-6046"/>
    <s v="13/11/2024"/>
    <x v="10"/>
    <s v="LEGUMEX"/>
    <x v="4"/>
    <n v="4"/>
    <s v="bidon 5L"/>
    <n v="21.87"/>
    <n v="87.48"/>
  </r>
  <r>
    <s v="FAC-6047"/>
    <s v="13/11/2024"/>
    <x v="10"/>
    <s v="LEGUMEX"/>
    <x v="5"/>
    <n v="8"/>
    <s v="seau 5kg"/>
    <n v="10.43"/>
    <n v="83.44"/>
  </r>
  <r>
    <s v="FAC-6048"/>
    <s v="13/11/2024"/>
    <x v="10"/>
    <s v="Moulin du Nord"/>
    <x v="10"/>
    <n v="2"/>
    <s v="sac 25kg"/>
    <n v="18.7"/>
    <n v="37.4"/>
  </r>
  <r>
    <s v="FAC-6049"/>
    <s v="13/11/2024"/>
    <x v="10"/>
    <s v="Fromag. Centrale"/>
    <x v="11"/>
    <n v="4"/>
    <s v="kg"/>
    <n v="9.34"/>
    <n v="37.36"/>
  </r>
  <r>
    <s v="FAC-6050"/>
    <s v="14/11/2024"/>
    <x v="10"/>
    <s v="Metro"/>
    <x v="0"/>
    <n v="3"/>
    <s v="pack 24"/>
    <n v="14.46"/>
    <n v="43.38"/>
  </r>
  <r>
    <s v="FAC-6051"/>
    <s v="14/11/2024"/>
    <x v="10"/>
    <s v="Metro"/>
    <x v="1"/>
    <n v="4"/>
    <s v="pack 24"/>
    <n v="13.75"/>
    <n v="55"/>
  </r>
  <r>
    <s v="FAC-6052"/>
    <s v="14/11/2024"/>
    <x v="10"/>
    <s v="Metro"/>
    <x v="2"/>
    <n v="3"/>
    <s v="kg"/>
    <n v="1.24"/>
    <n v="3.7199999999999998"/>
  </r>
  <r>
    <s v="FAC-6053"/>
    <s v="15/11/2024"/>
    <x v="10"/>
    <s v="B. Halal Pro"/>
    <x v="6"/>
    <n v="8"/>
    <s v="kg"/>
    <n v="8.57"/>
    <n v="68.56"/>
  </r>
  <r>
    <s v="FAC-6054"/>
    <s v="15/11/2024"/>
    <x v="10"/>
    <s v="B. Halal Pro"/>
    <x v="7"/>
    <n v="8"/>
    <s v="kg"/>
    <n v="7.17"/>
    <n v="57.36"/>
  </r>
  <r>
    <s v="FAC-6055"/>
    <s v="15/11/2024"/>
    <x v="10"/>
    <s v="Boul. Express"/>
    <x v="8"/>
    <n v="8"/>
    <s v="paquet x12"/>
    <n v="5.75"/>
    <n v="46"/>
  </r>
  <r>
    <s v="FAC-6056"/>
    <s v="15/11/2024"/>
    <x v="10"/>
    <s v="Boul. Express"/>
    <x v="9"/>
    <n v="8"/>
    <s v="paquet x10"/>
    <n v="3.88"/>
    <n v="31.04"/>
  </r>
  <r>
    <s v="FAC-6057"/>
    <s v="16/11/2024"/>
    <x v="10"/>
    <s v="Fromag. Centrale"/>
    <x v="11"/>
    <n v="6"/>
    <s v="kg"/>
    <n v="8.69"/>
    <n v="52.14"/>
  </r>
  <r>
    <s v="FAC-6058"/>
    <s v="18/11/2024"/>
    <x v="10"/>
    <s v="Metro"/>
    <x v="0"/>
    <n v="4"/>
    <s v="pack 24"/>
    <n v="14.98"/>
    <n v="59.92"/>
  </r>
  <r>
    <s v="FAC-6059"/>
    <s v="18/11/2024"/>
    <x v="10"/>
    <s v="Metro"/>
    <x v="1"/>
    <n v="6"/>
    <s v="pack 24"/>
    <n v="13.53"/>
    <n v="81.179999999999993"/>
  </r>
  <r>
    <s v="FAC-6060"/>
    <s v="18/11/2024"/>
    <x v="10"/>
    <s v="Metro"/>
    <x v="2"/>
    <n v="3"/>
    <s v="kg"/>
    <n v="1.26"/>
    <n v="3.7800000000000002"/>
  </r>
  <r>
    <s v="FAC-6061"/>
    <s v="18/11/2024"/>
    <x v="10"/>
    <s v="LEGUMEX"/>
    <x v="3"/>
    <n v="8"/>
    <s v="boite 3kg"/>
    <n v="4.26"/>
    <n v="34.08"/>
  </r>
  <r>
    <s v="FAC-6062"/>
    <s v="18/11/2024"/>
    <x v="10"/>
    <s v="LEGUMEX"/>
    <x v="4"/>
    <n v="6"/>
    <s v="bidon 5L"/>
    <n v="22.04"/>
    <n v="132.24"/>
  </r>
  <r>
    <s v="FAC-6063"/>
    <s v="18/11/2024"/>
    <x v="10"/>
    <s v="LEGUMEX"/>
    <x v="5"/>
    <n v="4"/>
    <s v="seau 5kg"/>
    <n v="9.92"/>
    <n v="39.68"/>
  </r>
  <r>
    <s v="FAC-6064"/>
    <s v="19/11/2024"/>
    <x v="10"/>
    <s v="B. Halal Pro"/>
    <x v="6"/>
    <n v="6"/>
    <s v="kg"/>
    <n v="10.32"/>
    <n v="61.92"/>
  </r>
  <r>
    <s v="FAC-6065"/>
    <s v="19/11/2024"/>
    <x v="10"/>
    <s v="B. Halal Pro"/>
    <x v="7"/>
    <n v="10"/>
    <s v="kg"/>
    <n v="7.43"/>
    <n v="74.3"/>
  </r>
  <r>
    <s v="FAC-6066"/>
    <s v="19/11/2024"/>
    <x v="10"/>
    <s v="Boul. Express"/>
    <x v="8"/>
    <n v="8"/>
    <s v="paquet x12"/>
    <n v="5.69"/>
    <n v="45.52"/>
  </r>
  <r>
    <s v="FAC-6067"/>
    <s v="19/11/2024"/>
    <x v="10"/>
    <s v="Boul. Express"/>
    <x v="9"/>
    <n v="10"/>
    <s v="paquet x10"/>
    <n v="3.9"/>
    <n v="39"/>
  </r>
  <r>
    <s v="FAC-6068"/>
    <s v="20/11/2024"/>
    <x v="10"/>
    <s v="LEGUMEX"/>
    <x v="3"/>
    <n v="10"/>
    <s v="boite 3kg"/>
    <n v="4.12"/>
    <n v="41.2"/>
  </r>
  <r>
    <s v="FAC-6069"/>
    <s v="20/11/2024"/>
    <x v="10"/>
    <s v="LEGUMEX"/>
    <x v="4"/>
    <n v="10"/>
    <s v="bidon 5L"/>
    <n v="21.95"/>
    <n v="219.5"/>
  </r>
  <r>
    <s v="FAC-6070"/>
    <s v="20/11/2024"/>
    <x v="10"/>
    <s v="LEGUMEX"/>
    <x v="5"/>
    <n v="8"/>
    <s v="seau 5kg"/>
    <n v="10.199999999999999"/>
    <n v="81.599999999999994"/>
  </r>
  <r>
    <s v="FAC-6071"/>
    <s v="20/11/2024"/>
    <x v="10"/>
    <s v="Moulin du Nord"/>
    <x v="10"/>
    <n v="2"/>
    <s v="sac 25kg"/>
    <n v="18.23"/>
    <n v="36.46"/>
  </r>
  <r>
    <s v="FAC-6072"/>
    <s v="20/11/2024"/>
    <x v="10"/>
    <s v="Fromag. Centrale"/>
    <x v="11"/>
    <n v="8"/>
    <s v="kg"/>
    <n v="9.5299999999999994"/>
    <n v="76.239999999999995"/>
  </r>
  <r>
    <s v="FAC-6073"/>
    <s v="21/11/2024"/>
    <x v="10"/>
    <s v="Metro"/>
    <x v="0"/>
    <n v="6"/>
    <s v="pack 24"/>
    <n v="15.08"/>
    <n v="90.48"/>
  </r>
  <r>
    <s v="FAC-6074"/>
    <s v="21/11/2024"/>
    <x v="10"/>
    <s v="Metro"/>
    <x v="1"/>
    <n v="6"/>
    <s v="pack 24"/>
    <n v="13.76"/>
    <n v="82.56"/>
  </r>
  <r>
    <s v="FAC-6075"/>
    <s v="21/11/2024"/>
    <x v="10"/>
    <s v="Metro"/>
    <x v="2"/>
    <n v="4"/>
    <s v="kg"/>
    <n v="1.27"/>
    <n v="5.08"/>
  </r>
  <r>
    <s v="FAC-6076"/>
    <s v="22/11/2024"/>
    <x v="10"/>
    <s v="B. Halal Pro"/>
    <x v="6"/>
    <n v="8"/>
    <s v="kg"/>
    <n v="10.15"/>
    <n v="81.2"/>
  </r>
  <r>
    <s v="FAC-6077"/>
    <s v="22/11/2024"/>
    <x v="10"/>
    <s v="B. Halal Pro"/>
    <x v="7"/>
    <n v="6"/>
    <s v="kg"/>
    <n v="7.08"/>
    <n v="42.480000000000004"/>
  </r>
  <r>
    <s v="FAC-6078"/>
    <s v="22/11/2024"/>
    <x v="10"/>
    <s v="Boul. Express"/>
    <x v="8"/>
    <n v="5"/>
    <s v="paquet x12"/>
    <n v="5.85"/>
    <n v="29.25"/>
  </r>
  <r>
    <s v="FAC-6079"/>
    <s v="22/11/2024"/>
    <x v="10"/>
    <s v="Boul. Express"/>
    <x v="9"/>
    <n v="10"/>
    <s v="paquet x10"/>
    <n v="3.88"/>
    <n v="38.799999999999997"/>
  </r>
  <r>
    <s v="FAC-6080"/>
    <s v="23/11/2024"/>
    <x v="10"/>
    <s v="Fromag. Centrale"/>
    <x v="11"/>
    <n v="10"/>
    <s v="kg"/>
    <n v="8.86"/>
    <n v="88.6"/>
  </r>
  <r>
    <s v="FAC-6081"/>
    <s v="25/11/2024"/>
    <x v="10"/>
    <s v="Metro"/>
    <x v="0"/>
    <n v="4"/>
    <s v="pack 24"/>
    <n v="14.72"/>
    <n v="58.88"/>
  </r>
  <r>
    <s v="FAC-6082"/>
    <s v="25/11/2024"/>
    <x v="10"/>
    <s v="Metro"/>
    <x v="1"/>
    <n v="4"/>
    <s v="pack 24"/>
    <n v="13.97"/>
    <n v="55.88"/>
  </r>
  <r>
    <s v="FAC-6083"/>
    <s v="25/11/2024"/>
    <x v="10"/>
    <s v="Metro"/>
    <x v="2"/>
    <n v="6"/>
    <s v="kg"/>
    <n v="1.25"/>
    <n v="7.5"/>
  </r>
  <r>
    <s v="FAC-6084"/>
    <s v="25/11/2024"/>
    <x v="10"/>
    <s v="LEGUMEX"/>
    <x v="3"/>
    <n v="8"/>
    <s v="boite 3kg"/>
    <n v="4.2"/>
    <n v="33.6"/>
  </r>
  <r>
    <s v="FAC-6085"/>
    <s v="25/11/2024"/>
    <x v="10"/>
    <s v="LEGUMEX"/>
    <x v="4"/>
    <n v="8"/>
    <s v="bidon 5L"/>
    <n v="23.38"/>
    <n v="187.04"/>
  </r>
  <r>
    <s v="FAC-6086"/>
    <s v="25/11/2024"/>
    <x v="10"/>
    <s v="LEGUMEX"/>
    <x v="5"/>
    <n v="4"/>
    <s v="seau 5kg"/>
    <n v="10.39"/>
    <n v="41.56"/>
  </r>
  <r>
    <s v="FAC-6087"/>
    <s v="26/11/2024"/>
    <x v="10"/>
    <s v="B. Halal Pro"/>
    <x v="6"/>
    <n v="8"/>
    <s v="kg"/>
    <n v="8.8800000000000008"/>
    <n v="71.040000000000006"/>
  </r>
  <r>
    <s v="FAC-6088"/>
    <s v="26/11/2024"/>
    <x v="10"/>
    <s v="B. Halal Pro"/>
    <x v="7"/>
    <n v="10"/>
    <s v="kg"/>
    <n v="7.32"/>
    <n v="73.2"/>
  </r>
  <r>
    <s v="FAC-6089"/>
    <s v="26/11/2024"/>
    <x v="10"/>
    <s v="Boul. Express"/>
    <x v="8"/>
    <n v="10"/>
    <s v="paquet x12"/>
    <n v="5.96"/>
    <n v="59.6"/>
  </r>
  <r>
    <s v="FAC-6090"/>
    <s v="26/11/2024"/>
    <x v="10"/>
    <s v="Boul. Express"/>
    <x v="9"/>
    <n v="8"/>
    <s v="paquet x10"/>
    <n v="3.92"/>
    <n v="31.36"/>
  </r>
  <r>
    <s v="FAC-6091"/>
    <s v="27/11/2024"/>
    <x v="10"/>
    <s v="LEGUMEX"/>
    <x v="3"/>
    <n v="8"/>
    <s v="boite 3kg"/>
    <n v="4.3899999999999997"/>
    <n v="35.119999999999997"/>
  </r>
  <r>
    <s v="FAC-6092"/>
    <s v="27/11/2024"/>
    <x v="10"/>
    <s v="LEGUMEX"/>
    <x v="4"/>
    <n v="10"/>
    <s v="bidon 5L"/>
    <n v="21.5"/>
    <n v="215"/>
  </r>
  <r>
    <s v="FAC-6093"/>
    <s v="27/11/2024"/>
    <x v="10"/>
    <s v="LEGUMEX"/>
    <x v="5"/>
    <n v="10"/>
    <s v="seau 5kg"/>
    <n v="10.5"/>
    <n v="105"/>
  </r>
  <r>
    <s v="FAC-6094"/>
    <s v="27/11/2024"/>
    <x v="10"/>
    <s v="Moulin du Nord"/>
    <x v="10"/>
    <n v="4"/>
    <s v="sac 25kg"/>
    <n v="19.04"/>
    <n v="76.16"/>
  </r>
  <r>
    <s v="FAC-6095"/>
    <s v="27/11/2024"/>
    <x v="10"/>
    <s v="Fromag. Centrale"/>
    <x v="11"/>
    <n v="6"/>
    <s v="kg"/>
    <n v="8.51"/>
    <n v="51.06"/>
  </r>
  <r>
    <s v="FAC-6096"/>
    <s v="28/11/2024"/>
    <x v="10"/>
    <s v="Metro"/>
    <x v="0"/>
    <n v="5"/>
    <s v="pack 24"/>
    <n v="14.27"/>
    <n v="71.349999999999994"/>
  </r>
  <r>
    <s v="FAC-6097"/>
    <s v="28/11/2024"/>
    <x v="10"/>
    <s v="Metro"/>
    <x v="1"/>
    <n v="4"/>
    <s v="pack 24"/>
    <n v="12.96"/>
    <n v="51.84"/>
  </r>
  <r>
    <s v="FAC-6098"/>
    <s v="28/11/2024"/>
    <x v="10"/>
    <s v="Metro"/>
    <x v="2"/>
    <n v="3"/>
    <s v="kg"/>
    <n v="1.24"/>
    <n v="3.7199999999999998"/>
  </r>
  <r>
    <s v="FAC-6099"/>
    <s v="29/11/2024"/>
    <x v="10"/>
    <s v="B. Halal Pro"/>
    <x v="6"/>
    <n v="10"/>
    <s v="kg"/>
    <n v="10.33"/>
    <n v="103.3"/>
  </r>
  <r>
    <s v="FAC-6100"/>
    <s v="29/11/2024"/>
    <x v="10"/>
    <s v="B. Halal Pro"/>
    <x v="7"/>
    <n v="6"/>
    <s v="kg"/>
    <n v="7.26"/>
    <n v="43.56"/>
  </r>
  <r>
    <s v="FAC-6101"/>
    <s v="29/11/2024"/>
    <x v="10"/>
    <s v="Boul. Express"/>
    <x v="8"/>
    <n v="12"/>
    <s v="paquet x12"/>
    <n v="5.89"/>
    <n v="70.679999999999993"/>
  </r>
  <r>
    <s v="FAC-6102"/>
    <s v="29/11/2024"/>
    <x v="10"/>
    <s v="Boul. Express"/>
    <x v="9"/>
    <n v="10"/>
    <s v="paquet x10"/>
    <n v="3.94"/>
    <n v="39.4"/>
  </r>
  <r>
    <s v="FAC-6103"/>
    <s v="30/11/2024"/>
    <x v="10"/>
    <s v="Fromag. Centrale"/>
    <x v="11"/>
    <n v="4"/>
    <s v="kg"/>
    <n v="9.1300000000000008"/>
    <n v="36.520000000000003"/>
  </r>
  <r>
    <s v="FAC-6104"/>
    <s v="02/12/2024"/>
    <x v="11"/>
    <s v="Metro"/>
    <x v="0"/>
    <n v="6"/>
    <s v="pack 24"/>
    <n v="14.3"/>
    <n v="85.800000000000011"/>
  </r>
  <r>
    <s v="FAC-6105"/>
    <s v="02/12/2024"/>
    <x v="11"/>
    <s v="Metro"/>
    <x v="1"/>
    <n v="4"/>
    <s v="pack 24"/>
    <n v="13.21"/>
    <n v="52.84"/>
  </r>
  <r>
    <s v="FAC-6106"/>
    <s v="02/12/2024"/>
    <x v="11"/>
    <s v="Metro"/>
    <x v="2"/>
    <n v="6"/>
    <s v="kg"/>
    <n v="1.27"/>
    <n v="7.62"/>
  </r>
  <r>
    <s v="FAC-6107"/>
    <s v="02/12/2024"/>
    <x v="11"/>
    <s v="LEGUMEX"/>
    <x v="3"/>
    <n v="8"/>
    <s v="boite 3kg"/>
    <n v="4.41"/>
    <n v="35.28"/>
  </r>
  <r>
    <s v="FAC-6108"/>
    <s v="02/12/2024"/>
    <x v="11"/>
    <s v="LEGUMEX"/>
    <x v="4"/>
    <n v="6"/>
    <s v="bidon 5L"/>
    <n v="22.47"/>
    <n v="134.82"/>
  </r>
  <r>
    <s v="FAC-6109"/>
    <s v="02/12/2024"/>
    <x v="11"/>
    <s v="LEGUMEX"/>
    <x v="5"/>
    <n v="6"/>
    <s v="seau 5kg"/>
    <n v="9.81"/>
    <n v="58.86"/>
  </r>
  <r>
    <s v="FAC-6110"/>
    <s v="03/12/2024"/>
    <x v="11"/>
    <s v="B. Halal Pro"/>
    <x v="6"/>
    <n v="6"/>
    <s v="kg"/>
    <n v="10.25"/>
    <n v="61.5"/>
  </r>
  <r>
    <s v="FAC-6111"/>
    <s v="03/12/2024"/>
    <x v="11"/>
    <s v="B. Halal Pro"/>
    <x v="7"/>
    <n v="12"/>
    <s v="kg"/>
    <n v="7.34"/>
    <n v="88.08"/>
  </r>
  <r>
    <s v="FAC-6112"/>
    <s v="03/12/2024"/>
    <x v="11"/>
    <s v="Boul. Express"/>
    <x v="8"/>
    <n v="10"/>
    <s v="paquet x12"/>
    <n v="5.78"/>
    <n v="57.800000000000004"/>
  </r>
  <r>
    <s v="FAC-6113"/>
    <s v="03/12/2024"/>
    <x v="11"/>
    <s v="Boul. Express"/>
    <x v="9"/>
    <n v="10"/>
    <s v="paquet x10"/>
    <n v="3.86"/>
    <n v="38.6"/>
  </r>
  <r>
    <s v="FAC-6114"/>
    <s v="04/12/2024"/>
    <x v="11"/>
    <s v="LEGUMEX"/>
    <x v="3"/>
    <n v="8"/>
    <s v="boite 3kg"/>
    <n v="4.33"/>
    <n v="34.64"/>
  </r>
  <r>
    <s v="FAC-6115"/>
    <s v="04/12/2024"/>
    <x v="11"/>
    <s v="LEGUMEX"/>
    <x v="4"/>
    <n v="4"/>
    <s v="bidon 5L"/>
    <n v="21.44"/>
    <n v="85.76"/>
  </r>
  <r>
    <s v="FAC-6116"/>
    <s v="04/12/2024"/>
    <x v="11"/>
    <s v="LEGUMEX"/>
    <x v="5"/>
    <n v="4"/>
    <s v="seau 5kg"/>
    <n v="9.5500000000000007"/>
    <n v="38.200000000000003"/>
  </r>
  <r>
    <s v="FAC-6117"/>
    <s v="04/12/2024"/>
    <x v="11"/>
    <s v="Moulin du Nord"/>
    <x v="10"/>
    <m/>
    <s v="sac 25kg"/>
    <n v="18.95"/>
    <n v="0"/>
  </r>
  <r>
    <s v="FAC-6118"/>
    <s v="04/12/2024"/>
    <x v="11"/>
    <s v="Fromag. Centrale"/>
    <x v="11"/>
    <n v="10"/>
    <s v="kg"/>
    <n v="8.58"/>
    <n v="85.8"/>
  </r>
  <r>
    <s v="FAC-6119"/>
    <s v="05/12/2024"/>
    <x v="11"/>
    <s v="Metro"/>
    <x v="0"/>
    <n v="5"/>
    <s v="pack 24"/>
    <n v="14.99"/>
    <n v="74.95"/>
  </r>
  <r>
    <s v="FAC-6120"/>
    <s v="05/12/2024"/>
    <x v="11"/>
    <s v="Metro"/>
    <x v="1"/>
    <n v="6"/>
    <s v="pack 24"/>
    <n v="13.63"/>
    <n v="81.78"/>
  </r>
  <r>
    <s v="FAC-6121"/>
    <s v="05/12/2024"/>
    <x v="11"/>
    <s v="Metro"/>
    <x v="2"/>
    <n v="4"/>
    <s v="kg"/>
    <n v="1.17"/>
    <n v="4.68"/>
  </r>
  <r>
    <s v="FAC-6122"/>
    <s v="06/12/2024"/>
    <x v="11"/>
    <s v="B. Halal Pro"/>
    <x v="6"/>
    <n v="6"/>
    <s v="kg"/>
    <n v="9.6"/>
    <n v="57.599999999999994"/>
  </r>
  <r>
    <s v="FAC-6123"/>
    <s v="06/12/2024"/>
    <x v="11"/>
    <s v="B. Halal Pro"/>
    <x v="7"/>
    <n v="5"/>
    <s v="kg"/>
    <n v="7.57"/>
    <n v="37.85"/>
  </r>
  <r>
    <s v="FAC-6124"/>
    <s v="06/12/2024"/>
    <x v="11"/>
    <s v="Boul. Express"/>
    <x v="8"/>
    <n v="12"/>
    <s v="paquet x12"/>
    <n v="5.82"/>
    <n v="69.84"/>
  </r>
  <r>
    <s v="FAC-6125"/>
    <s v="06/12/2024"/>
    <x v="11"/>
    <s v="Boul. Express"/>
    <x v="9"/>
    <n v="5"/>
    <s v="paquet x10"/>
    <n v="3.87"/>
    <n v="19.350000000000001"/>
  </r>
  <r>
    <s v="FAC-6126"/>
    <s v="07/12/2024"/>
    <x v="11"/>
    <s v="Fromag. Centrale"/>
    <x v="11"/>
    <n v="8"/>
    <s v="kg"/>
    <n v="9.0399999999999991"/>
    <n v="72.319999999999993"/>
  </r>
  <r>
    <s v="FAC-6127"/>
    <s v="09/12/2024"/>
    <x v="11"/>
    <s v="Metro"/>
    <x v="0"/>
    <n v="3"/>
    <s v="pack 24"/>
    <n v="14.93"/>
    <n v="44.79"/>
  </r>
  <r>
    <s v="FAC-6128"/>
    <s v="09/12/2024"/>
    <x v="11"/>
    <s v="Metro"/>
    <x v="1"/>
    <n v="5"/>
    <s v="pack 24"/>
    <n v="13.38"/>
    <n v="66.900000000000006"/>
  </r>
  <r>
    <s v="FAC-6129"/>
    <s v="09/12/2024"/>
    <x v="11"/>
    <s v="Metro"/>
    <x v="2"/>
    <n v="3"/>
    <s v="kg"/>
    <n v="1.26"/>
    <n v="3.7800000000000002"/>
  </r>
  <r>
    <s v="FAC-6130"/>
    <s v="09/12/2024"/>
    <x v="11"/>
    <s v="LEGUMEX"/>
    <x v="3"/>
    <n v="10"/>
    <s v="boite 3kg"/>
    <n v="4.12"/>
    <n v="41.2"/>
  </r>
  <r>
    <s v="FAC-6131"/>
    <s v="09/12/2024"/>
    <x v="11"/>
    <s v="LEGUMEX"/>
    <x v="4"/>
    <n v="4"/>
    <s v="bidon 5L"/>
    <n v="23.17"/>
    <n v="92.68"/>
  </r>
  <r>
    <s v="FAC-6132"/>
    <s v="09/12/2024"/>
    <x v="11"/>
    <s v="LEGUMEX"/>
    <x v="5"/>
    <n v="4"/>
    <s v="seau 5kg"/>
    <n v="9.32"/>
    <n v="37.28"/>
  </r>
  <r>
    <s v="FAC-6133"/>
    <s v="10/12/2024"/>
    <x v="11"/>
    <s v="B. Halal Pro"/>
    <x v="6"/>
    <n v="6"/>
    <s v="kg"/>
    <n v="9.93"/>
    <n v="59.58"/>
  </r>
  <r>
    <s v="FAC-6134"/>
    <s v="10/12/2024"/>
    <x v="11"/>
    <s v="B. Halal Pro"/>
    <x v="7"/>
    <n v="10"/>
    <s v="kg"/>
    <n v="6.91"/>
    <n v="69.099999999999994"/>
  </r>
  <r>
    <s v="FAC-6135"/>
    <s v="10/12/2024"/>
    <x v="11"/>
    <s v="Boul. Express"/>
    <x v="8"/>
    <n v="5"/>
    <s v="paquet x12"/>
    <n v="6.01"/>
    <n v="30.049999999999997"/>
  </r>
  <r>
    <s v="FAC-6136"/>
    <s v="10/12/2024"/>
    <x v="11"/>
    <s v="Boul. Express"/>
    <x v="9"/>
    <n v="5"/>
    <s v="paquet x10"/>
    <n v="3.99"/>
    <n v="19.950000000000003"/>
  </r>
  <r>
    <s v="FAC-6137"/>
    <s v="11/12/2024"/>
    <x v="11"/>
    <s v="LEGUMEX"/>
    <x v="3"/>
    <n v="8"/>
    <s v="boite 3kg"/>
    <n v="4.16"/>
    <n v="33.28"/>
  </r>
  <r>
    <s v="FAC-6138"/>
    <s v="11/12/2024"/>
    <x v="11"/>
    <s v="LEGUMEX"/>
    <x v="4"/>
    <n v="4"/>
    <s v="bidon 5L"/>
    <n v="23"/>
    <n v="92"/>
  </r>
  <r>
    <s v="FAC-6139"/>
    <s v="11/12/2024"/>
    <x v="11"/>
    <s v="LEGUMEX"/>
    <x v="5"/>
    <n v="8"/>
    <s v="seau 5kg"/>
    <n v="10.23"/>
    <n v="81.84"/>
  </r>
  <r>
    <s v="FAC-6140"/>
    <s v="11/12/2024"/>
    <x v="11"/>
    <s v="Moulin du Nord"/>
    <x v="10"/>
    <n v="4"/>
    <s v="sac 25kg"/>
    <n v="18.940000000000001"/>
    <n v="75.760000000000005"/>
  </r>
  <r>
    <s v="FAC-6141"/>
    <s v="11/12/2024"/>
    <x v="11"/>
    <s v="Fromag. Centrale"/>
    <x v="11"/>
    <n v="6"/>
    <s v="kg"/>
    <n v="8.64"/>
    <n v="51.84"/>
  </r>
  <r>
    <s v="FAC-6142"/>
    <s v="12/12/2024"/>
    <x v="11"/>
    <s v="Metro"/>
    <x v="0"/>
    <n v="6"/>
    <s v="pack 24"/>
    <n v="14.32"/>
    <n v="85.92"/>
  </r>
  <r>
    <s v="FAC-6143"/>
    <s v="12/12/2024"/>
    <x v="11"/>
    <s v="Metro"/>
    <x v="1"/>
    <n v="4"/>
    <s v="pack 24"/>
    <n v="12.89"/>
    <n v="51.56"/>
  </r>
  <r>
    <s v="FAC-6144"/>
    <s v="12/12/2024"/>
    <x v="11"/>
    <s v="Metro"/>
    <x v="2"/>
    <n v="5"/>
    <s v="kg"/>
    <n v="1.22"/>
    <n v="6.1"/>
  </r>
  <r>
    <s v="FAC-6145"/>
    <s v="13/12/2024"/>
    <x v="11"/>
    <s v="B. Halal Pro"/>
    <x v="6"/>
    <n v="5"/>
    <s v="kg"/>
    <n v="10.029999999999999"/>
    <n v="50.15"/>
  </r>
  <r>
    <s v="FAC-6146"/>
    <s v="13/12/2024"/>
    <x v="11"/>
    <s v="B. Halal Pro"/>
    <x v="7"/>
    <n v="6"/>
    <s v="kg"/>
    <n v="7.52"/>
    <n v="45.12"/>
  </r>
  <r>
    <s v="FAC-6147"/>
    <s v="13/12/2024"/>
    <x v="11"/>
    <s v="Boul. Express"/>
    <x v="8"/>
    <n v="12"/>
    <s v="paquet x12"/>
    <n v="5.91"/>
    <n v="70.92"/>
  </r>
  <r>
    <s v="FAC-6148"/>
    <s v="13/12/2024"/>
    <x v="11"/>
    <s v="Boul. Express"/>
    <x v="9"/>
    <n v="8"/>
    <s v="paquet x10"/>
    <n v="4"/>
    <n v="32"/>
  </r>
  <r>
    <s v="FAC-6149"/>
    <s v="14/12/2024"/>
    <x v="11"/>
    <s v="Fromag. Centrale"/>
    <x v="11"/>
    <n v="8"/>
    <s v="kg"/>
    <n v="8.9499999999999993"/>
    <n v="71.599999999999994"/>
  </r>
  <r>
    <s v="FAC-6150"/>
    <s v="16/12/2024"/>
    <x v="11"/>
    <s v="Metro"/>
    <x v="0"/>
    <n v="3"/>
    <s v="pack 24"/>
    <n v="14.02"/>
    <n v="42.06"/>
  </r>
  <r>
    <s v="FAC-6151"/>
    <s v="16/12/2024"/>
    <x v="11"/>
    <s v="Metro"/>
    <x v="1"/>
    <n v="3"/>
    <s v="pack 24"/>
    <n v="13.04"/>
    <n v="39.119999999999997"/>
  </r>
  <r>
    <s v="FAC-6152"/>
    <s v="16/12/2024"/>
    <x v="11"/>
    <s v="Metro"/>
    <x v="2"/>
    <n v="3"/>
    <s v="kg"/>
    <n v="1.23"/>
    <n v="3.69"/>
  </r>
  <r>
    <s v="FAC-6153"/>
    <s v="16/12/2024"/>
    <x v="11"/>
    <s v="LEGUMEX"/>
    <x v="3"/>
    <n v="8"/>
    <s v="boite 3kg"/>
    <n v="4.28"/>
    <n v="34.24"/>
  </r>
  <r>
    <s v="FAC-6154"/>
    <s v="16/12/2024"/>
    <x v="11"/>
    <s v="LEGUMEX"/>
    <x v="4"/>
    <m/>
    <s v="bidon 5L"/>
    <n v="22.63"/>
    <n v="0"/>
  </r>
  <r>
    <s v="FAC-6155"/>
    <s v="16/12/2024"/>
    <x v="11"/>
    <s v="LEGUMEX"/>
    <x v="5"/>
    <n v="4"/>
    <s v="seau 5kg"/>
    <n v="10.15"/>
    <n v="40.6"/>
  </r>
  <r>
    <s v="FAC-6156"/>
    <s v="17/12/2024"/>
    <x v="11"/>
    <s v="B. Halal Pro"/>
    <x v="6"/>
    <n v="10"/>
    <s v="kg"/>
    <n v="9.18"/>
    <n v="91.8"/>
  </r>
  <r>
    <s v="FAC-6157"/>
    <s v="17/12/2024"/>
    <x v="11"/>
    <s v="B. Halal Pro"/>
    <x v="7"/>
    <n v="8"/>
    <s v="kg"/>
    <n v="7.57"/>
    <n v="60.56"/>
  </r>
  <r>
    <s v="FAC-6158"/>
    <s v="17/12/2024"/>
    <x v="11"/>
    <s v="Boul. Express"/>
    <x v="8"/>
    <n v="5"/>
    <s v="paquet x12"/>
    <n v="5.97"/>
    <n v="29.849999999999998"/>
  </r>
  <r>
    <s v="FAC-6159"/>
    <s v="17/12/2024"/>
    <x v="11"/>
    <s v="Boul. Express"/>
    <x v="9"/>
    <n v="8"/>
    <s v="paquet x10"/>
    <n v="3.85"/>
    <n v="30.8"/>
  </r>
  <r>
    <s v="FAC-6160"/>
    <s v="18/12/2024"/>
    <x v="11"/>
    <s v="LEGUMEX"/>
    <x v="3"/>
    <n v="6"/>
    <s v="boite 3kg"/>
    <n v="4.0999999999999996"/>
    <n v="24.599999999999998"/>
  </r>
  <r>
    <s v="FAC-6161"/>
    <s v="18/12/2024"/>
    <x v="11"/>
    <s v="LEGUMEX"/>
    <x v="4"/>
    <n v="10"/>
    <s v="bidon 5L"/>
    <n v="22.5"/>
    <n v="225"/>
  </r>
  <r>
    <s v="FAC-6162"/>
    <s v="18/12/2024"/>
    <x v="11"/>
    <s v="LEGUMEX"/>
    <x v="5"/>
    <n v="10"/>
    <s v="seau 5kg"/>
    <n v="10.17"/>
    <n v="101.7"/>
  </r>
  <r>
    <s v="FAC-6163"/>
    <s v="18/12/2024"/>
    <x v="11"/>
    <s v="Moulin du Nord"/>
    <x v="10"/>
    <n v="4"/>
    <s v="sac 25kg"/>
    <n v="19.079999999999998"/>
    <n v="76.319999999999993"/>
  </r>
  <r>
    <s v="FAC-6164"/>
    <s v="18/12/2024"/>
    <x v="11"/>
    <s v="Fromag. Centrale"/>
    <x v="11"/>
    <n v="10"/>
    <s v="kg"/>
    <n v="9.3000000000000007"/>
    <n v="93"/>
  </r>
  <r>
    <s v="FAC-6165"/>
    <s v="19/12/2024"/>
    <x v="11"/>
    <s v="Metro"/>
    <x v="0"/>
    <n v="5"/>
    <s v="pack 24"/>
    <n v="15.06"/>
    <n v="75.3"/>
  </r>
  <r>
    <s v="FAC-6166"/>
    <s v="19/12/2024"/>
    <x v="11"/>
    <s v="Metro"/>
    <x v="1"/>
    <n v="5"/>
    <s v="pack 24"/>
    <n v="13.53"/>
    <n v="67.649999999999991"/>
  </r>
  <r>
    <s v="FAC-6167"/>
    <s v="19/12/2024"/>
    <x v="11"/>
    <s v="Metro"/>
    <x v="2"/>
    <n v="6"/>
    <s v="kg"/>
    <n v="1.25"/>
    <n v="7.5"/>
  </r>
  <r>
    <s v="FAC-6168"/>
    <s v="20/12/2024"/>
    <x v="11"/>
    <s v="B. Halal Pro"/>
    <x v="6"/>
    <n v="10"/>
    <s v="kg"/>
    <n v="9.18"/>
    <n v="91.8"/>
  </r>
  <r>
    <s v="FAC-6169"/>
    <s v="20/12/2024"/>
    <x v="11"/>
    <s v="B. Halal Pro"/>
    <x v="7"/>
    <n v="5"/>
    <s v="kg"/>
    <n v="6.62"/>
    <n v="33.1"/>
  </r>
  <r>
    <s v="FAC-6170"/>
    <s v="20/12/2024"/>
    <x v="11"/>
    <s v="Boul. Express"/>
    <x v="8"/>
    <m/>
    <s v="paquet x12"/>
    <n v="5.86"/>
    <n v="0"/>
  </r>
  <r>
    <s v="FAC-6171"/>
    <s v="20/12/2024"/>
    <x v="11"/>
    <s v="Boul. Express"/>
    <x v="9"/>
    <n v="10"/>
    <s v="paquet x10"/>
    <n v="3.87"/>
    <n v="38.700000000000003"/>
  </r>
  <r>
    <s v="FAC-6172"/>
    <s v="21/12/2024"/>
    <x v="11"/>
    <s v="Fromag. Centrale"/>
    <x v="11"/>
    <n v="6"/>
    <s v="kg"/>
    <n v="9.67"/>
    <n v="58.019999999999996"/>
  </r>
  <r>
    <s v="FAC-6173"/>
    <s v="23/12/2024"/>
    <x v="11"/>
    <s v="Metro"/>
    <x v="0"/>
    <n v="5"/>
    <s v="pack 24"/>
    <n v="14.17"/>
    <n v="70.849999999999994"/>
  </r>
  <r>
    <s v="FAC-6174"/>
    <s v="23/12/2024"/>
    <x v="11"/>
    <s v="Metro"/>
    <x v="1"/>
    <n v="4"/>
    <s v="pack 24"/>
    <n v="13.08"/>
    <n v="52.32"/>
  </r>
  <r>
    <s v="FAC-6175"/>
    <s v="23/12/2024"/>
    <x v="11"/>
    <s v="Metro"/>
    <x v="2"/>
    <n v="6"/>
    <s v="kg"/>
    <n v="1.23"/>
    <n v="7.38"/>
  </r>
  <r>
    <s v="FAC-6176"/>
    <s v="23/12/2024"/>
    <x v="11"/>
    <s v="LEGUMEX"/>
    <x v="3"/>
    <n v="10"/>
    <s v="boite 3kg"/>
    <n v="4.3899999999999997"/>
    <n v="43.9"/>
  </r>
  <r>
    <s v="FAC-6177"/>
    <s v="23/12/2024"/>
    <x v="11"/>
    <s v="LEGUMEX"/>
    <x v="4"/>
    <n v="8"/>
    <s v="bidon 5L"/>
    <n v="22.6"/>
    <n v="180.8"/>
  </r>
  <r>
    <s v="FAC-6178"/>
    <s v="23/12/2024"/>
    <x v="11"/>
    <s v="LEGUMEX"/>
    <x v="5"/>
    <n v="4"/>
    <s v="seau 5kg"/>
    <n v="9.41"/>
    <n v="37.64"/>
  </r>
  <r>
    <s v="FAC-6179"/>
    <s v="24/12/2024"/>
    <x v="11"/>
    <s v="B. Halal Pro"/>
    <x v="6"/>
    <n v="10"/>
    <s v="kg"/>
    <n v="9.15"/>
    <n v="91.5"/>
  </r>
  <r>
    <s v="FAC-6180"/>
    <s v="24/12/2024"/>
    <x v="11"/>
    <s v="B. Halal Pro"/>
    <x v="7"/>
    <n v="6"/>
    <s v="kg"/>
    <n v="7.63"/>
    <n v="45.78"/>
  </r>
  <r>
    <s v="FAC-6181"/>
    <s v="24/12/2024"/>
    <x v="11"/>
    <s v="Boul. Express"/>
    <x v="8"/>
    <n v="12"/>
    <s v="paquet x12"/>
    <n v="5.9"/>
    <n v="70.800000000000011"/>
  </r>
  <r>
    <s v="FAC-6182"/>
    <s v="24/12/2024"/>
    <x v="11"/>
    <s v="Boul. Express"/>
    <x v="9"/>
    <n v="8"/>
    <s v="paquet x10"/>
    <n v="3.9"/>
    <n v="31.2"/>
  </r>
  <r>
    <s v="FAC-6183"/>
    <s v="25/12/2024"/>
    <x v="11"/>
    <s v="LEGUMEX"/>
    <x v="3"/>
    <n v="10"/>
    <s v="boite 3kg"/>
    <n v="4.07"/>
    <n v="40.700000000000003"/>
  </r>
  <r>
    <s v="FAC-6184"/>
    <s v="25/12/2024"/>
    <x v="11"/>
    <s v="LEGUMEX"/>
    <x v="4"/>
    <n v="8"/>
    <s v="bidon 5L"/>
    <n v="21.54"/>
    <n v="172.32"/>
  </r>
  <r>
    <s v="FAC-6185"/>
    <s v="25/12/2024"/>
    <x v="11"/>
    <s v="LEGUMEX"/>
    <x v="5"/>
    <n v="4"/>
    <s v="seau 5kg"/>
    <n v="9.48"/>
    <n v="37.92"/>
  </r>
  <r>
    <s v="FAC-6186"/>
    <s v="25/12/2024"/>
    <x v="11"/>
    <s v="Moulin du Nord"/>
    <x v="10"/>
    <n v="3"/>
    <s v="sac 25kg"/>
    <n v="18.670000000000002"/>
    <n v="56.010000000000005"/>
  </r>
  <r>
    <s v="FAC-6187"/>
    <s v="25/12/2024"/>
    <x v="11"/>
    <s v="Fromag. Centrale"/>
    <x v="11"/>
    <n v="6"/>
    <s v="kg"/>
    <n v="9.4700000000000006"/>
    <n v="56.820000000000007"/>
  </r>
  <r>
    <s v="FAC-6188"/>
    <s v="26/12/2024"/>
    <x v="11"/>
    <s v="Metro"/>
    <x v="0"/>
    <n v="4"/>
    <s v="pack 24"/>
    <n v="14.6"/>
    <n v="58.4"/>
  </r>
  <r>
    <s v="FAC-6189"/>
    <s v="26/12/2024"/>
    <x v="11"/>
    <s v="Metro"/>
    <x v="1"/>
    <n v="4"/>
    <s v="pack 24"/>
    <n v="13.09"/>
    <n v="52.36"/>
  </r>
  <r>
    <s v="FAC-6190"/>
    <s v="26/12/2024"/>
    <x v="11"/>
    <s v="Metro"/>
    <x v="2"/>
    <n v="5"/>
    <s v="kg"/>
    <n v="1.24"/>
    <n v="6.2"/>
  </r>
  <r>
    <s v="FAC-6191"/>
    <s v="27/12/2024"/>
    <x v="11"/>
    <s v="B. Halal Pro"/>
    <x v="6"/>
    <n v="10"/>
    <s v="kg"/>
    <n v="9.89"/>
    <n v="98.9"/>
  </r>
  <r>
    <s v="FAC-6192"/>
    <s v="27/12/2024"/>
    <x v="11"/>
    <s v="B. Halal Pro"/>
    <x v="7"/>
    <n v="12"/>
    <s v="kg"/>
    <n v="6.99"/>
    <n v="83.88"/>
  </r>
  <r>
    <s v="FAC-6193"/>
    <s v="27/12/2024"/>
    <x v="11"/>
    <s v="Boul. Express"/>
    <x v="8"/>
    <n v="10"/>
    <s v="paquet x12"/>
    <n v="5.74"/>
    <n v="57.400000000000006"/>
  </r>
  <r>
    <s v="FAC-6194"/>
    <s v="27/12/2024"/>
    <x v="11"/>
    <s v="Boul. Express"/>
    <x v="9"/>
    <n v="12"/>
    <s v="paquet x10"/>
    <n v="3.97"/>
    <n v="47.64"/>
  </r>
  <r>
    <s v="FAC-6195"/>
    <s v="28/12/2024"/>
    <x v="11"/>
    <s v="Fromag. Centrale"/>
    <x v="11"/>
    <n v="8"/>
    <s v="kg"/>
    <n v="8.65"/>
    <n v="69.2"/>
  </r>
  <r>
    <s v="FAC-6196"/>
    <s v="30/12/2024"/>
    <x v="11"/>
    <s v="Metro"/>
    <x v="0"/>
    <n v="3"/>
    <s v="pack 24"/>
    <n v="14.93"/>
    <n v="44.79"/>
  </r>
  <r>
    <s v="FAC-6197"/>
    <s v="30/12/2024"/>
    <x v="11"/>
    <s v="Metro"/>
    <x v="1"/>
    <n v="4"/>
    <s v="pack 24"/>
    <n v="13.84"/>
    <n v="55.36"/>
  </r>
  <r>
    <s v="FAC-6198"/>
    <s v="30/12/2024"/>
    <x v="11"/>
    <s v="Metro"/>
    <x v="2"/>
    <n v="5"/>
    <s v="kg"/>
    <n v="1.24"/>
    <n v="6.2"/>
  </r>
  <r>
    <s v="FAC-6199"/>
    <s v="30/12/2024"/>
    <x v="11"/>
    <s v="LEGUMEX"/>
    <x v="3"/>
    <n v="8"/>
    <s v="boite 3kg"/>
    <n v="4.25"/>
    <n v="34"/>
  </r>
  <r>
    <s v="FAC-6200"/>
    <s v="30/12/2024"/>
    <x v="11"/>
    <s v="LEGUMEX"/>
    <x v="4"/>
    <n v="8"/>
    <s v="bidon 5L"/>
    <n v="21.48"/>
    <n v="171.84"/>
  </r>
  <r>
    <s v="FAC-6201"/>
    <s v="30/12/2024"/>
    <x v="11"/>
    <s v="LEGUMEX"/>
    <x v="5"/>
    <n v="4"/>
    <s v="seau 5kg"/>
    <n v="10.199999999999999"/>
    <n v="40.799999999999997"/>
  </r>
  <r>
    <s v="FAC-6202"/>
    <s v="31/12/2024"/>
    <x v="11"/>
    <s v="B. Halal Pro"/>
    <x v="6"/>
    <n v="5"/>
    <s v="kg"/>
    <n v="8.94"/>
    <n v="44.699999999999996"/>
  </r>
  <r>
    <s v="FAC-6203"/>
    <s v="31/12/2024"/>
    <x v="11"/>
    <s v="B. Halal Pro"/>
    <x v="7"/>
    <n v="5"/>
    <s v="kg"/>
    <n v="6.69"/>
    <n v="33.450000000000003"/>
  </r>
  <r>
    <s v="FAC-6204"/>
    <s v="31/12/2024"/>
    <x v="11"/>
    <s v="Boul. Express"/>
    <x v="8"/>
    <n v="10"/>
    <s v="paquet x12"/>
    <n v="5.91"/>
    <n v="59.1"/>
  </r>
  <r>
    <s v="FAC-6205"/>
    <s v="31/12/2024"/>
    <x v="11"/>
    <s v="Boul. Express"/>
    <x v="9"/>
    <n v="12"/>
    <s v="paquet x10"/>
    <n v="3.89"/>
    <n v="46.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600045-9A47-475A-BEBF-C7DC1DDCBD19}" name="PivotTable4"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location ref="M25:Y39" firstHeaderRow="1" firstDataRow="2" firstDataCol="1"/>
  <pivotFields count="9">
    <pivotField showAll="0"/>
    <pivotField showAll="0"/>
    <pivotField axis="axisRow" showAll="0">
      <items count="13">
        <item x="0"/>
        <item x="1"/>
        <item x="2"/>
        <item x="3"/>
        <item x="4"/>
        <item x="5"/>
        <item x="6"/>
        <item x="7"/>
        <item x="8"/>
        <item x="9"/>
        <item x="10"/>
        <item x="11"/>
        <item t="default"/>
      </items>
    </pivotField>
    <pivotField showAll="0"/>
    <pivotField axis="axisCol" showAll="0">
      <items count="13">
        <item x="1"/>
        <item x="0"/>
        <item x="10"/>
        <item x="4"/>
        <item x="11"/>
        <item x="8"/>
        <item x="9"/>
        <item x="7"/>
        <item x="5"/>
        <item x="2"/>
        <item x="3"/>
        <item x="6"/>
        <item t="default"/>
      </items>
    </pivotField>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Fields count="1">
    <field x="4"/>
  </colFields>
  <colItems count="12">
    <i>
      <x/>
    </i>
    <i>
      <x v="1"/>
    </i>
    <i>
      <x v="2"/>
    </i>
    <i>
      <x v="3"/>
    </i>
    <i>
      <x v="4"/>
    </i>
    <i>
      <x v="5"/>
    </i>
    <i>
      <x v="6"/>
    </i>
    <i>
      <x v="7"/>
    </i>
    <i>
      <x v="8"/>
    </i>
    <i>
      <x v="9"/>
    </i>
    <i>
      <x v="10"/>
    </i>
    <i>
      <x v="11"/>
    </i>
  </colItems>
  <dataFields count="1">
    <dataField name="Sum of Couts" fld="8" baseField="2" baseItem="0" numFmtId="164"/>
  </dataFields>
  <chartFormats count="2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1" format="6" series="1">
      <pivotArea type="data" outline="0" fieldPosition="0">
        <references count="2">
          <reference field="4294967294" count="1" selected="0">
            <x v="0"/>
          </reference>
          <reference field="4" count="1" selected="0">
            <x v="6"/>
          </reference>
        </references>
      </pivotArea>
    </chartFormat>
    <chartFormat chart="1" format="7" series="1">
      <pivotArea type="data" outline="0" fieldPosition="0">
        <references count="2">
          <reference field="4294967294" count="1" selected="0">
            <x v="0"/>
          </reference>
          <reference field="4" count="1" selected="0">
            <x v="7"/>
          </reference>
        </references>
      </pivotArea>
    </chartFormat>
    <chartFormat chart="1" format="8" series="1">
      <pivotArea type="data" outline="0" fieldPosition="0">
        <references count="2">
          <reference field="4294967294" count="1" selected="0">
            <x v="0"/>
          </reference>
          <reference field="4" count="1" selected="0">
            <x v="8"/>
          </reference>
        </references>
      </pivotArea>
    </chartFormat>
    <chartFormat chart="1" format="9" series="1">
      <pivotArea type="data" outline="0" fieldPosition="0">
        <references count="2">
          <reference field="4294967294" count="1" selected="0">
            <x v="0"/>
          </reference>
          <reference field="4" count="1" selected="0">
            <x v="9"/>
          </reference>
        </references>
      </pivotArea>
    </chartFormat>
    <chartFormat chart="1" format="10" series="1">
      <pivotArea type="data" outline="0" fieldPosition="0">
        <references count="2">
          <reference field="4294967294" count="1" selected="0">
            <x v="0"/>
          </reference>
          <reference field="4" count="1" selected="0">
            <x v="10"/>
          </reference>
        </references>
      </pivotArea>
    </chartFormat>
    <chartFormat chart="1" format="11" series="1">
      <pivotArea type="data" outline="0" fieldPosition="0">
        <references count="2">
          <reference field="4294967294" count="1" selected="0">
            <x v="0"/>
          </reference>
          <reference field="4" count="1" selected="0">
            <x v="11"/>
          </reference>
        </references>
      </pivotArea>
    </chartFormat>
    <chartFormat chart="1" format="12" series="1">
      <pivotArea type="data" outline="0" fieldPosition="0">
        <references count="1">
          <reference field="4294967294" count="1" selected="0">
            <x v="0"/>
          </reference>
        </references>
      </pivotArea>
    </chartFormat>
    <chartFormat chart="1" format="13" series="1">
      <pivotArea type="data" outline="0" fieldPosition="0">
        <references count="2">
          <reference field="4294967294" count="1" selected="0">
            <x v="0"/>
          </reference>
          <reference field="2" count="1" selected="0">
            <x v="1"/>
          </reference>
        </references>
      </pivotArea>
    </chartFormat>
    <chartFormat chart="1" format="14" series="1">
      <pivotArea type="data" outline="0" fieldPosition="0">
        <references count="2">
          <reference field="4294967294" count="1" selected="0">
            <x v="0"/>
          </reference>
          <reference field="2" count="1" selected="0">
            <x v="2"/>
          </reference>
        </references>
      </pivotArea>
    </chartFormat>
    <chartFormat chart="1" format="15" series="1">
      <pivotArea type="data" outline="0" fieldPosition="0">
        <references count="2">
          <reference field="4294967294" count="1" selected="0">
            <x v="0"/>
          </reference>
          <reference field="2" count="1" selected="0">
            <x v="3"/>
          </reference>
        </references>
      </pivotArea>
    </chartFormat>
    <chartFormat chart="1" format="16" series="1">
      <pivotArea type="data" outline="0" fieldPosition="0">
        <references count="2">
          <reference field="4294967294" count="1" selected="0">
            <x v="0"/>
          </reference>
          <reference field="2" count="1" selected="0">
            <x v="4"/>
          </reference>
        </references>
      </pivotArea>
    </chartFormat>
    <chartFormat chart="1" format="17" series="1">
      <pivotArea type="data" outline="0" fieldPosition="0">
        <references count="2">
          <reference field="4294967294" count="1" selected="0">
            <x v="0"/>
          </reference>
          <reference field="2" count="1" selected="0">
            <x v="5"/>
          </reference>
        </references>
      </pivotArea>
    </chartFormat>
    <chartFormat chart="1" format="18" series="1">
      <pivotArea type="data" outline="0" fieldPosition="0">
        <references count="2">
          <reference field="4294967294" count="1" selected="0">
            <x v="0"/>
          </reference>
          <reference field="2" count="1" selected="0">
            <x v="6"/>
          </reference>
        </references>
      </pivotArea>
    </chartFormat>
    <chartFormat chart="1" format="19" series="1">
      <pivotArea type="data" outline="0" fieldPosition="0">
        <references count="2">
          <reference field="4294967294" count="1" selected="0">
            <x v="0"/>
          </reference>
          <reference field="2" count="1" selected="0">
            <x v="7"/>
          </reference>
        </references>
      </pivotArea>
    </chartFormat>
    <chartFormat chart="1" format="20" series="1">
      <pivotArea type="data" outline="0" fieldPosition="0">
        <references count="2">
          <reference field="4294967294" count="1" selected="0">
            <x v="0"/>
          </reference>
          <reference field="2" count="1" selected="0">
            <x v="8"/>
          </reference>
        </references>
      </pivotArea>
    </chartFormat>
    <chartFormat chart="1" format="21" series="1">
      <pivotArea type="data" outline="0" fieldPosition="0">
        <references count="2">
          <reference field="4294967294" count="1" selected="0">
            <x v="0"/>
          </reference>
          <reference field="2" count="1" selected="0">
            <x v="9"/>
          </reference>
        </references>
      </pivotArea>
    </chartFormat>
    <chartFormat chart="1" format="22" series="1">
      <pivotArea type="data" outline="0" fieldPosition="0">
        <references count="2">
          <reference field="4294967294" count="1" selected="0">
            <x v="0"/>
          </reference>
          <reference field="2" count="1" selected="0">
            <x v="10"/>
          </reference>
        </references>
      </pivotArea>
    </chartFormat>
    <chartFormat chart="1" format="23" series="1">
      <pivotArea type="data" outline="0" fieldPosition="0">
        <references count="2">
          <reference field="4294967294" count="1" selected="0">
            <x v="0"/>
          </reference>
          <reference field="2" count="1" selected="0">
            <x v="1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83DBAA-EEEF-4206-B5FC-5C6B039747DD}" name="PivotTable1"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C16" firstHeaderRow="0" firstDataRow="1" firstDataCol="1"/>
  <pivotFields count="9">
    <pivotField showAll="0"/>
    <pivotField showAll="0"/>
    <pivotField showAll="0"/>
    <pivotField showAll="0"/>
    <pivotField axis="axisRow" showAll="0">
      <items count="13">
        <item x="1"/>
        <item x="0"/>
        <item x="10"/>
        <item x="4"/>
        <item x="11"/>
        <item x="8"/>
        <item x="9"/>
        <item x="7"/>
        <item x="5"/>
        <item x="2"/>
        <item x="3"/>
        <item x="6"/>
        <item t="default"/>
      </items>
    </pivotField>
    <pivotField dataField="1" showAll="0"/>
    <pivotField showAll="0"/>
    <pivotField showAll="0"/>
    <pivotField dataField="1"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Quantite_Livree" fld="5" baseField="0" baseItem="0"/>
    <dataField name="Sum of Cout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gredient_ajusté" xr10:uid="{26597704-3226-464E-81EE-7C916550A096}" sourceName="Ingredient ajusté">
  <pivotTables>
    <pivotTable tabId="1" name="PivotTable4"/>
  </pivotTables>
  <data>
    <tabular pivotCacheId="1056961645">
      <items count="12">
        <i x="1" s="1"/>
        <i x="0" s="1"/>
        <i x="10" s="1"/>
        <i x="4" s="1"/>
        <i x="11" s="1"/>
        <i x="8" s="1"/>
        <i x="9" s="1"/>
        <i x="7" s="1"/>
        <i x="5" s="1"/>
        <i x="2"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gredient ajusté" xr10:uid="{97CB9C80-AF3C-45DC-88B7-15CE59D95943}" cache="Slicer_Ingredient_ajusté" caption="Ingredient ajusté" startItem="2"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96639D-3820-457B-ADA8-B9518AF7B79E}" name="Table1" displayName="Table1" ref="A1:I1207" totalsRowShown="0">
  <autoFilter ref="A1:I1207" xr:uid="{B696639D-3820-457B-ADA8-B9518AF7B79E}"/>
  <tableColumns count="9">
    <tableColumn id="1" xr3:uid="{1F18D997-5F04-43D7-9D95-89757FF819B5}" name="ID_Facture"/>
    <tableColumn id="2" xr3:uid="{32AB1074-B67D-427B-A955-3A3CE9FC4A16}" name="Date"/>
    <tableColumn id="3" xr3:uid="{C2A02684-5C7D-4E1C-BFE7-D0B325E8DD01}" name="Mois" dataDxfId="5">
      <calculatedColumnFormula>TEXT(DATE(2024,MID(B2,4,2),_xlfn.TEXTBEFORE(B2,"/",1)),"mmmm")</calculatedColumnFormula>
    </tableColumn>
    <tableColumn id="4" xr3:uid="{242571BF-F177-4C9A-9015-35E16FAECC39}" name="Fournissuer ajusté"/>
    <tableColumn id="5" xr3:uid="{5633741D-8989-4516-9238-127671BED559}" name="Ingredient ajusté"/>
    <tableColumn id="6" xr3:uid="{B297138B-2388-4BCD-BD84-46542A9A8421}" name="Quantité corrigé"/>
    <tableColumn id="7" xr3:uid="{915967B6-FFB3-436F-A99F-23F9C75816DD}" name="Unite"/>
    <tableColumn id="8" xr3:uid="{DD199BC1-2D7F-49ED-B9D4-331BA508A350}" name="Prix_Unitaire_HT"/>
    <tableColumn id="9" xr3:uid="{0C0F2DDA-BA0E-4472-A64F-D182B25363CE}" name="Couts" dataDxfId="4">
      <calculatedColumnFormula>Table1[[#This Row],[Quantité corrigé]]*Table1[[#This Row],[Prix_Unitaire_HT]]</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C724FC-CE15-4EE3-8CE8-739F771273D6}" name="Table3" displayName="Table3" ref="M7:P20" headerRowCount="0">
  <tableColumns count="4">
    <tableColumn id="1" xr3:uid="{B71A921E-FDA8-4E5E-8391-02936B679D7B}" name="Column1" totalsRowLabel="Total"/>
    <tableColumn id="2" xr3:uid="{E69528EA-5830-40FD-8810-0C870A34B181}" name="Column2" dataDxfId="3"/>
    <tableColumn id="3" xr3:uid="{6626FA66-EC08-4474-A855-A19F2C27140F}" name="Column3" dataDxfId="2"/>
    <tableColumn id="4" xr3:uid="{EBEB7034-8AC0-48B7-8D75-B12E26338A87}" name="Column4" totalsRowFunction="count" dataDxfId="1"/>
  </tableColumns>
  <tableStyleInfo name="TableStyleLight3" showFirstColumn="1"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995A6-C8F0-4364-A28A-605BB7E5D5C2}">
  <dimension ref="A1:Y1207"/>
  <sheetViews>
    <sheetView tabSelected="1" zoomScaleNormal="100" workbookViewId="0">
      <selection activeCell="I2" sqref="I2"/>
    </sheetView>
  </sheetViews>
  <sheetFormatPr defaultColWidth="8.7109375" defaultRowHeight="15" x14ac:dyDescent="0.25"/>
  <cols>
    <col min="1" max="1" width="10.42578125" bestFit="1" customWidth="1"/>
    <col min="2" max="2" width="10.7109375" bestFit="1" customWidth="1"/>
    <col min="3" max="3" width="21.7109375" bestFit="1" customWidth="1"/>
    <col min="4" max="4" width="18.7109375" bestFit="1" customWidth="1"/>
    <col min="5" max="5" width="15.42578125" bestFit="1" customWidth="1"/>
    <col min="6" max="6" width="10.7109375" bestFit="1" customWidth="1"/>
    <col min="7" max="7" width="16" bestFit="1" customWidth="1"/>
    <col min="8" max="8" width="17.5703125" bestFit="1" customWidth="1"/>
    <col min="9" max="9" width="17.140625" customWidth="1"/>
    <col min="10" max="11" width="15.140625" customWidth="1"/>
    <col min="12" max="12" width="19.28515625" bestFit="1" customWidth="1"/>
    <col min="13" max="13" width="15.85546875" customWidth="1"/>
    <col min="16" max="16" width="20.5703125" customWidth="1"/>
    <col min="17" max="17" width="22.7109375" customWidth="1"/>
    <col min="22" max="22" width="10.85546875" customWidth="1"/>
  </cols>
  <sheetData>
    <row r="1" spans="1:25" x14ac:dyDescent="0.25">
      <c r="A1" t="s">
        <v>0</v>
      </c>
      <c r="B1" t="s">
        <v>1</v>
      </c>
      <c r="C1" t="s">
        <v>2</v>
      </c>
      <c r="D1" t="s">
        <v>3</v>
      </c>
      <c r="E1" t="s">
        <v>4</v>
      </c>
      <c r="F1" t="s">
        <v>5</v>
      </c>
      <c r="G1" t="s">
        <v>6</v>
      </c>
      <c r="H1" t="s">
        <v>1574</v>
      </c>
      <c r="I1" t="s">
        <v>1576</v>
      </c>
      <c r="J1" t="s">
        <v>1614</v>
      </c>
    </row>
    <row r="2" spans="1:25" x14ac:dyDescent="0.25">
      <c r="A2" t="s">
        <v>7</v>
      </c>
      <c r="B2" t="s">
        <v>8</v>
      </c>
      <c r="C2" t="s">
        <v>9</v>
      </c>
      <c r="D2" t="s">
        <v>10</v>
      </c>
      <c r="E2">
        <v>3</v>
      </c>
      <c r="F2" t="s">
        <v>11</v>
      </c>
      <c r="G2">
        <v>14.93</v>
      </c>
      <c r="H2" t="str" cm="1">
        <f t="array" ref="H2">_xlfn.XLOOKUP(TRIM(C2),_xlfn.ANCHORARRAY($L$5),$M$5:$M$18)</f>
        <v>Metro</v>
      </c>
      <c r="I2" t="str" cm="1">
        <f t="array" ref="I2:I1207">_xlfn.XLOOKUP(D2:D1207,_xlfn.ANCHORARRAY(P5),Q5:Q16)</f>
        <v>Coca Cola</v>
      </c>
      <c r="J2">
        <f t="shared" ref="J2:J65" si="0">IF(E2&lt;&gt;0,E2,_xlfn.XLOOKUP(I2,$Q$5:$Q$16,$Y$5:$Y$16))</f>
        <v>3</v>
      </c>
    </row>
    <row r="3" spans="1:25" x14ac:dyDescent="0.25">
      <c r="A3" t="s">
        <v>12</v>
      </c>
      <c r="B3" t="s">
        <v>8</v>
      </c>
      <c r="C3" t="s">
        <v>13</v>
      </c>
      <c r="D3" t="s">
        <v>14</v>
      </c>
      <c r="E3">
        <v>3</v>
      </c>
      <c r="F3" t="s">
        <v>11</v>
      </c>
      <c r="G3">
        <v>13.61</v>
      </c>
      <c r="H3" t="str" cm="1">
        <f t="array" ref="H3">_xlfn.XLOOKUP(TRIM(C3),_xlfn.ANCHORARRAY($L$5),$M$5:$M$18)</f>
        <v>Metro</v>
      </c>
      <c r="I3" t="str">
        <v>7up</v>
      </c>
      <c r="J3">
        <f t="shared" si="0"/>
        <v>3</v>
      </c>
      <c r="L3" t="s">
        <v>1573</v>
      </c>
      <c r="P3" t="s">
        <v>1575</v>
      </c>
      <c r="V3" t="s">
        <v>1612</v>
      </c>
    </row>
    <row r="4" spans="1:25" x14ac:dyDescent="0.25">
      <c r="A4" t="s">
        <v>15</v>
      </c>
      <c r="B4" t="s">
        <v>8</v>
      </c>
      <c r="C4" t="s">
        <v>9</v>
      </c>
      <c r="D4" t="s">
        <v>16</v>
      </c>
      <c r="E4">
        <v>6</v>
      </c>
      <c r="F4" t="s">
        <v>17</v>
      </c>
      <c r="G4">
        <v>1.17</v>
      </c>
      <c r="H4" t="str" cm="1">
        <f t="array" ref="H4">_xlfn.XLOOKUP(TRIM(C4),_xlfn.ANCHORARRAY($L$5),$M$5:$M$18)</f>
        <v>Metro</v>
      </c>
      <c r="I4" t="str">
        <v>Sel</v>
      </c>
      <c r="J4">
        <f t="shared" si="0"/>
        <v>6</v>
      </c>
      <c r="L4" t="s">
        <v>1572</v>
      </c>
      <c r="V4" s="1" t="s">
        <v>1590</v>
      </c>
      <c r="W4" s="1" t="s">
        <v>1589</v>
      </c>
      <c r="X4" s="1" t="s">
        <v>1591</v>
      </c>
      <c r="Y4" s="1" t="s">
        <v>1613</v>
      </c>
    </row>
    <row r="5" spans="1:25" x14ac:dyDescent="0.25">
      <c r="A5" t="s">
        <v>18</v>
      </c>
      <c r="B5" t="s">
        <v>8</v>
      </c>
      <c r="C5" t="s">
        <v>19</v>
      </c>
      <c r="D5" t="s">
        <v>20</v>
      </c>
      <c r="E5">
        <v>4</v>
      </c>
      <c r="F5" t="s">
        <v>21</v>
      </c>
      <c r="G5">
        <v>4.2699999999999996</v>
      </c>
      <c r="H5" t="str" cm="1">
        <f t="array" ref="H5">_xlfn.XLOOKUP(TRIM(C5),_xlfn.ANCHORARRAY($L$5),$M$5:$M$18)</f>
        <v>LEGUMEX</v>
      </c>
      <c r="I5" t="str">
        <v>Tomates pelées</v>
      </c>
      <c r="J5">
        <f t="shared" si="0"/>
        <v>4</v>
      </c>
      <c r="L5" t="str" cm="1">
        <f t="array" ref="L5:L18">_xlfn._xlws.SORT(_xlfn.UNIQUE(C2:C1207))</f>
        <v>B. Halal Pro</v>
      </c>
      <c r="M5" t="s">
        <v>66</v>
      </c>
      <c r="P5" t="str" cm="1">
        <f t="array" ref="P5:P16">_xlfn._xlws.SORT(_xlfn.UNIQUE(D2:D1207))</f>
        <v>7up 24x33cl</v>
      </c>
      <c r="Q5" t="str">
        <f>_xlfn.IFNA(_xlfn.TEXTBEFORE(P5," ",2),_xlfn.TEXTBEFORE(P5," ",1))</f>
        <v>7up</v>
      </c>
      <c r="R5" s="1">
        <f>AVERAGEIF($D$2:$D$1207,P5,$G$2:$G$1207)</f>
        <v>13.412190476190485</v>
      </c>
      <c r="S5" cm="1">
        <f t="array" ref="S5">_xlfn.MODE.SNGL(_xlfn._xlws.FILTER($G$2:$G$1207,$D$2:$D$1207=P5))</f>
        <v>13.12</v>
      </c>
      <c r="U5" cm="1">
        <f t="array" ref="U5">COUNT(IF($G$2:$G$1207=S5,1))</f>
        <v>3</v>
      </c>
      <c r="V5" s="1">
        <f t="shared" ref="V5:V16" si="1">_xlfn.MINIFS($G$2:$G$1207,_xlfn.ANCHORARRAY($I$2),Q5)</f>
        <v>12.85</v>
      </c>
      <c r="W5" s="1">
        <f t="shared" ref="W5:W16" si="2">_xlfn.MAXIFS($G$2:$G$1207,_xlfn.ANCHORARRAY($I$2),Q5)</f>
        <v>13.98</v>
      </c>
      <c r="X5" s="1">
        <f>AVERAGEIF($D$2:$D$1207,P5,$G$2:$G$1207)</f>
        <v>13.412190476190485</v>
      </c>
      <c r="Y5" cm="1">
        <f t="array" ref="Y5">_xlfn.MODE.SNGL(_xlfn._xlws.FILTER($E$2:$E$1207,_xlfn.ANCHORARRAY($I$2)=Q5))</f>
        <v>5</v>
      </c>
    </row>
    <row r="6" spans="1:25" x14ac:dyDescent="0.25">
      <c r="A6" t="s">
        <v>22</v>
      </c>
      <c r="B6" t="s">
        <v>8</v>
      </c>
      <c r="C6" t="s">
        <v>23</v>
      </c>
      <c r="D6" t="s">
        <v>24</v>
      </c>
      <c r="E6">
        <v>8</v>
      </c>
      <c r="F6" t="s">
        <v>25</v>
      </c>
      <c r="G6">
        <v>21.53</v>
      </c>
      <c r="H6" t="str" cm="1">
        <f t="array" ref="H6">_xlfn.XLOOKUP(TRIM(C6),_xlfn.ANCHORARRAY($L$5),$M$5:$M$18)</f>
        <v>LEGUMEX</v>
      </c>
      <c r="I6" t="str">
        <v>Huile olive</v>
      </c>
      <c r="J6">
        <f t="shared" si="0"/>
        <v>8</v>
      </c>
      <c r="L6" t="str">
        <v>Boucherie halal pro</v>
      </c>
      <c r="M6" t="s">
        <v>66</v>
      </c>
      <c r="P6" t="str">
        <v>Coca Cola 24x33cl</v>
      </c>
      <c r="Q6" t="str">
        <f t="shared" ref="Q6:Q16" si="3">_xlfn.IFNA(_xlfn.TEXTBEFORE(P6," ",2),_xlfn.TEXTBEFORE(P6," ",1))</f>
        <v>Coca Cola</v>
      </c>
      <c r="R6" s="1">
        <f t="shared" ref="R6:R16" si="4">AVERAGEIF($D$2:$D$1207,P6,$G$2:$G$1207)</f>
        <v>14.583142857142864</v>
      </c>
      <c r="S6" cm="1">
        <f t="array" ref="S6">_xlfn.MODE.SNGL(_xlfn._xlws.FILTER($G$2:$G$1207,$D$2:$D$1207=P6))</f>
        <v>14.93</v>
      </c>
      <c r="T6" cm="1">
        <f t="array" ref="T6">COUNT(_xlfn._xlws.FILTER($G$2:$G$1207,$D$2:$D$1207=P6))</f>
        <v>105</v>
      </c>
      <c r="U6" cm="1">
        <f t="array" ref="U6">COUNT(IF($G$2:$G$1207=S6,1))</f>
        <v>4</v>
      </c>
      <c r="V6" s="1">
        <f t="shared" si="1"/>
        <v>13.98</v>
      </c>
      <c r="W6" s="1">
        <f t="shared" si="2"/>
        <v>15.25</v>
      </c>
      <c r="X6" s="1">
        <f t="shared" ref="X6:X16" si="5">AVERAGEIF($D$2:$D$1207,P6,$G$2:$G$1207)</f>
        <v>14.583142857142864</v>
      </c>
      <c r="Y6" cm="1">
        <f t="array" ref="Y6">_xlfn.MODE.SNGL(_xlfn._xlws.FILTER($E$2:$E$1207,_xlfn.ANCHORARRAY($I$2)=Q6))</f>
        <v>6</v>
      </c>
    </row>
    <row r="7" spans="1:25" x14ac:dyDescent="0.25">
      <c r="A7" t="s">
        <v>26</v>
      </c>
      <c r="B7" t="s">
        <v>8</v>
      </c>
      <c r="C7" t="s">
        <v>27</v>
      </c>
      <c r="D7" t="s">
        <v>28</v>
      </c>
      <c r="E7">
        <v>6</v>
      </c>
      <c r="F7" t="s">
        <v>29</v>
      </c>
      <c r="G7">
        <v>10.28</v>
      </c>
      <c r="H7" t="str" cm="1">
        <f t="array" ref="H7">_xlfn.XLOOKUP(TRIM(C7),_xlfn.ANCHORARRAY($L$5),$M$5:$M$18)</f>
        <v>LEGUMEX</v>
      </c>
      <c r="I7" t="str">
        <v>Sauce tomate</v>
      </c>
      <c r="J7">
        <f t="shared" si="0"/>
        <v>6</v>
      </c>
      <c r="L7" t="str">
        <v>Boul. Express</v>
      </c>
      <c r="M7" t="s">
        <v>69</v>
      </c>
      <c r="P7" t="str">
        <v>Farine 25kg</v>
      </c>
      <c r="Q7" t="str">
        <f t="shared" si="3"/>
        <v>Farine</v>
      </c>
      <c r="R7" s="1">
        <f t="shared" si="4"/>
        <v>18.60173076923077</v>
      </c>
      <c r="S7" cm="1">
        <f t="array" ref="S7">_xlfn.MODE.SNGL(_xlfn._xlws.FILTER($G$2:$G$1207,$D$2:$D$1207=P7))</f>
        <v>17.899999999999999</v>
      </c>
      <c r="T7" cm="1">
        <f t="array" ref="T7">COUNT(_xlfn._xlws.FILTER($G$2:$G$1207,$D$2:$D$1207=P7))</f>
        <v>52</v>
      </c>
      <c r="U7" cm="1">
        <f t="array" ref="U7">COUNT(IF($G$2:$G$1207=S7,1))</f>
        <v>2</v>
      </c>
      <c r="V7" s="1">
        <f t="shared" si="1"/>
        <v>17.82</v>
      </c>
      <c r="W7" s="1">
        <f t="shared" si="2"/>
        <v>19.38</v>
      </c>
      <c r="X7" s="1">
        <f t="shared" si="5"/>
        <v>18.60173076923077</v>
      </c>
      <c r="Y7" cm="1">
        <f t="array" ref="Y7">_xlfn.MODE.SNGL(_xlfn._xlws.FILTER($E$2:$E$1207,_xlfn.ANCHORARRAY($I$2)=Q7))</f>
        <v>2</v>
      </c>
    </row>
    <row r="8" spans="1:25" x14ac:dyDescent="0.25">
      <c r="A8" t="s">
        <v>30</v>
      </c>
      <c r="B8" t="s">
        <v>31</v>
      </c>
      <c r="C8" t="s">
        <v>32</v>
      </c>
      <c r="D8" t="s">
        <v>33</v>
      </c>
      <c r="E8">
        <v>6</v>
      </c>
      <c r="F8" t="s">
        <v>17</v>
      </c>
      <c r="G8">
        <v>8.99</v>
      </c>
      <c r="H8" t="str" cm="1">
        <f t="array" ref="H8">_xlfn.XLOOKUP(TRIM(C8),_xlfn.ANCHORARRAY($L$5),$M$5:$M$18)</f>
        <v>B. Halal Pro</v>
      </c>
      <c r="I8" t="str">
        <v>Viande hachée</v>
      </c>
      <c r="J8">
        <f t="shared" si="0"/>
        <v>6</v>
      </c>
      <c r="L8" t="str">
        <v>Boulangerie express</v>
      </c>
      <c r="M8" t="s">
        <v>69</v>
      </c>
      <c r="P8" t="str">
        <v>Huile olive 5L</v>
      </c>
      <c r="Q8" t="str">
        <f t="shared" si="3"/>
        <v>Huile olive</v>
      </c>
      <c r="R8" s="1">
        <f t="shared" si="4"/>
        <v>22.337809523809522</v>
      </c>
      <c r="S8" cm="1">
        <f t="array" ref="S8">_xlfn.MODE.SNGL(_xlfn._xlws.FILTER($G$2:$G$1207,$D$2:$D$1207=P8))</f>
        <v>20.96</v>
      </c>
      <c r="T8" cm="1">
        <f t="array" ref="T8">COUNT(_xlfn._xlws.FILTER($G$2:$G$1207,$D$2:$D$1207=P8))</f>
        <v>105</v>
      </c>
      <c r="U8" cm="1">
        <f t="array" ref="U8">COUNT(IF($G$2:$G$1207=S8,1))</f>
        <v>2</v>
      </c>
      <c r="V8" s="1">
        <f t="shared" si="1"/>
        <v>20.94</v>
      </c>
      <c r="W8" s="1">
        <f t="shared" si="2"/>
        <v>23.69</v>
      </c>
      <c r="X8" s="1">
        <f t="shared" si="5"/>
        <v>22.337809523809522</v>
      </c>
      <c r="Y8" cm="1">
        <f t="array" ref="Y8">_xlfn.MODE.SNGL(_xlfn._xlws.FILTER($E$2:$E$1207,_xlfn.ANCHORARRAY($I$2)=Q8))</f>
        <v>6</v>
      </c>
    </row>
    <row r="9" spans="1:25" x14ac:dyDescent="0.25">
      <c r="A9" t="s">
        <v>34</v>
      </c>
      <c r="B9" t="s">
        <v>31</v>
      </c>
      <c r="C9" t="s">
        <v>32</v>
      </c>
      <c r="D9" t="s">
        <v>35</v>
      </c>
      <c r="E9">
        <v>10</v>
      </c>
      <c r="F9" t="s">
        <v>17</v>
      </c>
      <c r="G9">
        <v>6.74</v>
      </c>
      <c r="H9" t="str" cm="1">
        <f t="array" ref="H9">_xlfn.XLOOKUP(TRIM(C9),_xlfn.ANCHORARRAY($L$5),$M$5:$M$18)</f>
        <v>B. Halal Pro</v>
      </c>
      <c r="I9" t="str">
        <v>Poulet émincé</v>
      </c>
      <c r="J9">
        <f t="shared" si="0"/>
        <v>10</v>
      </c>
      <c r="L9" t="str">
        <v>Fromag. Centrale</v>
      </c>
      <c r="M9" t="s">
        <v>195</v>
      </c>
      <c r="P9" t="str">
        <v>Mozzarella 1kg</v>
      </c>
      <c r="Q9" t="str">
        <f t="shared" si="3"/>
        <v>Mozzarella</v>
      </c>
      <c r="R9" s="1">
        <f t="shared" si="4"/>
        <v>9.0354807692307713</v>
      </c>
      <c r="S9" cm="1">
        <f t="array" ref="S9">_xlfn.MODE.SNGL(_xlfn._xlws.FILTER($G$2:$G$1207,$D$2:$D$1207=P9))</f>
        <v>8.6199999999999992</v>
      </c>
      <c r="T9" cm="1">
        <f t="array" ref="T9">COUNT(_xlfn._xlws.FILTER($G$2:$G$1207,$D$2:$D$1207=P9))</f>
        <v>104</v>
      </c>
      <c r="U9" cm="1">
        <f t="array" ref="U9">COUNT(IF($G$2:$G$1207=S9,1))</f>
        <v>4</v>
      </c>
      <c r="V9" s="1">
        <f t="shared" si="1"/>
        <v>8.4</v>
      </c>
      <c r="W9" s="1">
        <f t="shared" si="2"/>
        <v>9.7799999999999994</v>
      </c>
      <c r="X9" s="1">
        <f t="shared" si="5"/>
        <v>9.0354807692307713</v>
      </c>
      <c r="Y9" cm="1">
        <f t="array" ref="Y9">_xlfn.MODE.SNGL(_xlfn._xlws.FILTER($E$2:$E$1207,_xlfn.ANCHORARRAY($I$2)=Q9))</f>
        <v>10</v>
      </c>
    </row>
    <row r="10" spans="1:25" x14ac:dyDescent="0.25">
      <c r="A10" t="s">
        <v>36</v>
      </c>
      <c r="B10" t="s">
        <v>31</v>
      </c>
      <c r="C10" t="s">
        <v>37</v>
      </c>
      <c r="D10" t="s">
        <v>38</v>
      </c>
      <c r="E10">
        <v>5</v>
      </c>
      <c r="F10" t="s">
        <v>39</v>
      </c>
      <c r="G10">
        <v>5.89</v>
      </c>
      <c r="H10" t="str" cm="1">
        <f t="array" ref="H10">_xlfn.XLOOKUP(TRIM(C10),_xlfn.ANCHORARRAY($L$5),$M$5:$M$18)</f>
        <v>Boul. Express</v>
      </c>
      <c r="I10" t="str">
        <v>Pain burger</v>
      </c>
      <c r="J10">
        <f t="shared" si="0"/>
        <v>5</v>
      </c>
      <c r="L10" t="str">
        <v>Fromagerie centrale</v>
      </c>
      <c r="M10" t="s">
        <v>195</v>
      </c>
      <c r="P10" t="str">
        <v>Pain burger x12</v>
      </c>
      <c r="Q10" t="str">
        <f t="shared" si="3"/>
        <v>Pain burger</v>
      </c>
      <c r="R10" s="1">
        <f t="shared" si="4"/>
        <v>5.8742857142857146</v>
      </c>
      <c r="S10" cm="1">
        <f t="array" ref="S10">_xlfn.MODE.SNGL(_xlfn._xlws.FILTER($G$2:$G$1207,$D$2:$D$1207=P10))</f>
        <v>5.89</v>
      </c>
      <c r="T10" cm="1">
        <f t="array" ref="T10">COUNT(_xlfn._xlws.FILTER($G$2:$G$1207,$D$2:$D$1207=P10))</f>
        <v>105</v>
      </c>
      <c r="U10" cm="1">
        <f t="array" ref="U10">COUNT(IF($G$2:$G$1207=S10,1))</f>
        <v>5</v>
      </c>
      <c r="V10" s="1">
        <f t="shared" si="1"/>
        <v>5.69</v>
      </c>
      <c r="W10" s="1">
        <f t="shared" si="2"/>
        <v>6.03</v>
      </c>
      <c r="X10" s="1">
        <f t="shared" si="5"/>
        <v>5.8742857142857146</v>
      </c>
      <c r="Y10" cm="1">
        <f t="array" ref="Y10">_xlfn.MODE.SNGL(_xlfn._xlws.FILTER($E$2:$E$1207,_xlfn.ANCHORARRAY($I$2)=Q10))</f>
        <v>12</v>
      </c>
    </row>
    <row r="11" spans="1:25" x14ac:dyDescent="0.25">
      <c r="A11" t="s">
        <v>40</v>
      </c>
      <c r="B11" t="s">
        <v>31</v>
      </c>
      <c r="C11" t="s">
        <v>41</v>
      </c>
      <c r="D11" t="s">
        <v>42</v>
      </c>
      <c r="E11">
        <v>12</v>
      </c>
      <c r="F11" t="s">
        <v>43</v>
      </c>
      <c r="G11">
        <v>4.05</v>
      </c>
      <c r="H11" t="str" cm="1">
        <f t="array" ref="H11">_xlfn.XLOOKUP(TRIM(C11),_xlfn.ANCHORARRAY($L$5),$M$5:$M$18)</f>
        <v>Boul. Express</v>
      </c>
      <c r="I11" t="str">
        <v>Pain pita</v>
      </c>
      <c r="J11">
        <f t="shared" si="0"/>
        <v>12</v>
      </c>
      <c r="L11" t="str">
        <v>LEGUMEX</v>
      </c>
      <c r="M11" t="s">
        <v>19</v>
      </c>
      <c r="P11" t="str">
        <v>Pain pita x10</v>
      </c>
      <c r="Q11" t="str">
        <f t="shared" si="3"/>
        <v>Pain pita</v>
      </c>
      <c r="R11" s="1">
        <f t="shared" si="4"/>
        <v>3.9440000000000017</v>
      </c>
      <c r="S11" cm="1">
        <f t="array" ref="S11">_xlfn.MODE.SNGL(_xlfn._xlws.FILTER($G$2:$G$1207,$D$2:$D$1207=P11))</f>
        <v>3.94</v>
      </c>
      <c r="T11" cm="1">
        <f t="array" ref="T11">COUNT(_xlfn._xlws.FILTER($G$2:$G$1207,$D$2:$D$1207=P11))</f>
        <v>105</v>
      </c>
      <c r="U11" cm="1">
        <f t="array" ref="U11">COUNT(IF($G$2:$G$1207=S11,1))</f>
        <v>8</v>
      </c>
      <c r="V11" s="1">
        <f t="shared" si="1"/>
        <v>3.82</v>
      </c>
      <c r="W11" s="1">
        <f t="shared" si="2"/>
        <v>4.0599999999999996</v>
      </c>
      <c r="X11" s="1">
        <f t="shared" si="5"/>
        <v>3.9440000000000017</v>
      </c>
      <c r="Y11" cm="1">
        <f t="array" ref="Y11">_xlfn.MODE.SNGL(_xlfn._xlws.FILTER($E$2:$E$1207,_xlfn.ANCHORARRAY($I$2)=Q11))</f>
        <v>12</v>
      </c>
    </row>
    <row r="12" spans="1:25" x14ac:dyDescent="0.25">
      <c r="A12" t="s">
        <v>44</v>
      </c>
      <c r="B12" t="s">
        <v>45</v>
      </c>
      <c r="C12" t="s">
        <v>46</v>
      </c>
      <c r="D12" t="s">
        <v>20</v>
      </c>
      <c r="E12">
        <v>8</v>
      </c>
      <c r="F12" t="s">
        <v>21</v>
      </c>
      <c r="G12">
        <v>4.4400000000000004</v>
      </c>
      <c r="H12" t="str" cm="1">
        <f t="array" ref="H12">_xlfn.XLOOKUP(TRIM(C12),_xlfn.ANCHORARRAY($L$5),$M$5:$M$18)</f>
        <v>LEGUMEX</v>
      </c>
      <c r="I12" t="str">
        <v>Tomates pelées</v>
      </c>
      <c r="J12">
        <f t="shared" si="0"/>
        <v>8</v>
      </c>
      <c r="L12" t="str">
        <v>Légumex</v>
      </c>
      <c r="M12" t="s">
        <v>19</v>
      </c>
      <c r="P12" t="str">
        <v>Poulet émincé 1kg</v>
      </c>
      <c r="Q12" t="str">
        <f t="shared" si="3"/>
        <v>Poulet émincé</v>
      </c>
      <c r="R12" s="1">
        <f t="shared" si="4"/>
        <v>7.1976190476190522</v>
      </c>
      <c r="S12" cm="1">
        <f t="array" ref="S12">_xlfn.MODE.SNGL(_xlfn._xlws.FILTER($G$2:$G$1207,$D$2:$D$1207=P12))</f>
        <v>7.2</v>
      </c>
      <c r="T12" cm="1">
        <f t="array" ref="T12">COUNT(_xlfn._xlws.FILTER($G$2:$G$1207,$D$2:$D$1207=P12))</f>
        <v>105</v>
      </c>
      <c r="U12" cm="1">
        <f t="array" ref="U12">COUNT(IF($G$2:$G$1207=S12,1))</f>
        <v>5</v>
      </c>
      <c r="V12" s="1">
        <f t="shared" si="1"/>
        <v>6.62</v>
      </c>
      <c r="W12" s="1">
        <f t="shared" si="2"/>
        <v>7.77</v>
      </c>
      <c r="X12" s="1">
        <f t="shared" si="5"/>
        <v>7.1976190476190522</v>
      </c>
      <c r="Y12" cm="1">
        <f t="array" ref="Y12">_xlfn.MODE.SNGL(_xlfn._xlws.FILTER($E$2:$E$1207,_xlfn.ANCHORARRAY($I$2)=Q12))</f>
        <v>6</v>
      </c>
    </row>
    <row r="13" spans="1:25" x14ac:dyDescent="0.25">
      <c r="A13" t="s">
        <v>47</v>
      </c>
      <c r="B13" t="s">
        <v>45</v>
      </c>
      <c r="C13" t="s">
        <v>27</v>
      </c>
      <c r="D13" t="s">
        <v>24</v>
      </c>
      <c r="E13">
        <v>6</v>
      </c>
      <c r="F13" t="s">
        <v>25</v>
      </c>
      <c r="G13">
        <v>21.03</v>
      </c>
      <c r="H13" t="str" cm="1">
        <f t="array" ref="H13">_xlfn.XLOOKUP(TRIM(C13),_xlfn.ANCHORARRAY($L$5),$M$5:$M$18)</f>
        <v>LEGUMEX</v>
      </c>
      <c r="I13" t="str">
        <v>Huile olive</v>
      </c>
      <c r="J13">
        <f t="shared" si="0"/>
        <v>6</v>
      </c>
      <c r="L13" t="str">
        <v>Legumex SARL</v>
      </c>
      <c r="M13" t="s">
        <v>19</v>
      </c>
      <c r="P13" t="str">
        <v>Sauce tomate 5kg</v>
      </c>
      <c r="Q13" t="str">
        <f t="shared" si="3"/>
        <v>Sauce tomate</v>
      </c>
      <c r="R13" s="1">
        <f t="shared" si="4"/>
        <v>9.9531428571428577</v>
      </c>
      <c r="S13" cm="1">
        <f t="array" ref="S13">_xlfn.MODE.SNGL(_xlfn._xlws.FILTER($G$2:$G$1207,$D$2:$D$1207=P13))</f>
        <v>10.39</v>
      </c>
      <c r="T13" cm="1">
        <f t="array" ref="T13">COUNT(_xlfn._xlws.FILTER($G$2:$G$1207,$D$2:$D$1207=P13))</f>
        <v>105</v>
      </c>
      <c r="U13" cm="1">
        <f t="array" ref="U13">COUNT(IF($G$2:$G$1207=S13,1))</f>
        <v>4</v>
      </c>
      <c r="V13" s="1">
        <f t="shared" si="1"/>
        <v>9.32</v>
      </c>
      <c r="W13" s="1">
        <f t="shared" si="2"/>
        <v>10.57</v>
      </c>
      <c r="X13" s="1">
        <f t="shared" si="5"/>
        <v>9.9531428571428577</v>
      </c>
      <c r="Y13" cm="1">
        <f t="array" ref="Y13">_xlfn.MODE.SNGL(_xlfn._xlws.FILTER($E$2:$E$1207,_xlfn.ANCHORARRAY($I$2)=Q13))</f>
        <v>8</v>
      </c>
    </row>
    <row r="14" spans="1:25" x14ac:dyDescent="0.25">
      <c r="A14" t="s">
        <v>48</v>
      </c>
      <c r="B14" t="s">
        <v>45</v>
      </c>
      <c r="C14" t="s">
        <v>27</v>
      </c>
      <c r="D14" t="s">
        <v>28</v>
      </c>
      <c r="E14">
        <v>4</v>
      </c>
      <c r="F14" t="s">
        <v>29</v>
      </c>
      <c r="G14">
        <v>10.4</v>
      </c>
      <c r="H14" t="str" cm="1">
        <f t="array" ref="H14">_xlfn.XLOOKUP(TRIM(C14),_xlfn.ANCHORARRAY($L$5),$M$5:$M$18)</f>
        <v>LEGUMEX</v>
      </c>
      <c r="I14" t="str">
        <v>Sauce tomate</v>
      </c>
      <c r="J14">
        <f t="shared" si="0"/>
        <v>4</v>
      </c>
      <c r="L14" t="str">
        <v>Metro</v>
      </c>
      <c r="M14" t="s">
        <v>61</v>
      </c>
      <c r="P14" t="str">
        <v>Sel kg</v>
      </c>
      <c r="Q14" t="str">
        <f t="shared" si="3"/>
        <v>Sel</v>
      </c>
      <c r="R14" s="1">
        <f t="shared" si="4"/>
        <v>1.221904761904762</v>
      </c>
      <c r="S14" cm="1">
        <f t="array" ref="S14">_xlfn.MODE.SNGL(_xlfn._xlws.FILTER($G$2:$G$1207,$D$2:$D$1207=P14))</f>
        <v>1.25</v>
      </c>
      <c r="T14" cm="1">
        <f t="array" ref="T14">COUNT(_xlfn._xlws.FILTER($G$2:$G$1207,$D$2:$D$1207=P14))</f>
        <v>105</v>
      </c>
      <c r="U14" cm="1">
        <f t="array" ref="U14">COUNT(IF($G$2:$G$1207=S14,1))</f>
        <v>14</v>
      </c>
      <c r="V14" s="1">
        <f t="shared" si="1"/>
        <v>1.17</v>
      </c>
      <c r="W14" s="1">
        <f t="shared" si="2"/>
        <v>1.27</v>
      </c>
      <c r="X14" s="1">
        <f t="shared" si="5"/>
        <v>1.221904761904762</v>
      </c>
      <c r="Y14" cm="1">
        <f t="array" ref="Y14">_xlfn.MODE.SNGL(_xlfn._xlws.FILTER($E$2:$E$1207,_xlfn.ANCHORARRAY($I$2)=Q14))</f>
        <v>6</v>
      </c>
    </row>
    <row r="15" spans="1:25" x14ac:dyDescent="0.25">
      <c r="A15" t="s">
        <v>49</v>
      </c>
      <c r="B15" t="s">
        <v>45</v>
      </c>
      <c r="C15" t="s">
        <v>50</v>
      </c>
      <c r="D15" t="s">
        <v>51</v>
      </c>
      <c r="E15">
        <v>3</v>
      </c>
      <c r="F15" t="s">
        <v>52</v>
      </c>
      <c r="G15">
        <v>18.82</v>
      </c>
      <c r="H15" t="str" cm="1">
        <f t="array" ref="H15">_xlfn.XLOOKUP(TRIM(C15),_xlfn.ANCHORARRAY($L$5),$M$5:$M$18)</f>
        <v>Moulin du Nord</v>
      </c>
      <c r="I15" t="str">
        <v>Farine</v>
      </c>
      <c r="J15">
        <f t="shared" si="0"/>
        <v>3</v>
      </c>
      <c r="L15" t="str">
        <v>Metro Cash</v>
      </c>
      <c r="M15" t="s">
        <v>61</v>
      </c>
      <c r="P15" t="str">
        <v>Tomates pelées 3kg</v>
      </c>
      <c r="Q15" t="str">
        <f t="shared" si="3"/>
        <v>Tomates pelées</v>
      </c>
      <c r="R15" s="1">
        <f t="shared" si="4"/>
        <v>4.267999999999998</v>
      </c>
      <c r="S15" cm="1">
        <f t="array" ref="S15">_xlfn.MODE.SNGL(_xlfn._xlws.FILTER($G$2:$G$1207,$D$2:$D$1207=P15))</f>
        <v>4.28</v>
      </c>
      <c r="T15" cm="1">
        <f t="array" ref="T15">COUNT(_xlfn._xlws.FILTER($G$2:$G$1207,$D$2:$D$1207=P15))</f>
        <v>105</v>
      </c>
      <c r="U15" cm="1">
        <f t="array" ref="U15">COUNT(IF($G$2:$G$1207=S15,1))</f>
        <v>6</v>
      </c>
      <c r="V15" s="1">
        <f t="shared" si="1"/>
        <v>4</v>
      </c>
      <c r="W15" s="1">
        <f t="shared" si="2"/>
        <v>4.53</v>
      </c>
      <c r="X15" s="1">
        <f t="shared" si="5"/>
        <v>4.267999999999998</v>
      </c>
      <c r="Y15" cm="1">
        <f t="array" ref="Y15">_xlfn.MODE.SNGL(_xlfn._xlws.FILTER($E$2:$E$1207,_xlfn.ANCHORARRAY($I$2)=Q15))</f>
        <v>4</v>
      </c>
    </row>
    <row r="16" spans="1:25" x14ac:dyDescent="0.25">
      <c r="A16" t="s">
        <v>53</v>
      </c>
      <c r="B16" t="s">
        <v>45</v>
      </c>
      <c r="C16" t="s">
        <v>54</v>
      </c>
      <c r="D16" t="s">
        <v>55</v>
      </c>
      <c r="E16">
        <v>8</v>
      </c>
      <c r="F16" t="s">
        <v>17</v>
      </c>
      <c r="G16">
        <v>8.66</v>
      </c>
      <c r="H16" t="str" cm="1">
        <f t="array" ref="H16">_xlfn.XLOOKUP(TRIM(C16),_xlfn.ANCHORARRAY($L$5),$M$5:$M$18)</f>
        <v>Fromag. Centrale</v>
      </c>
      <c r="I16" t="str">
        <v>Mozzarella</v>
      </c>
      <c r="J16">
        <f t="shared" si="0"/>
        <v>8</v>
      </c>
      <c r="L16" t="str">
        <v>Métro Cash</v>
      </c>
      <c r="M16" t="s">
        <v>61</v>
      </c>
      <c r="P16" t="str">
        <v>Viande hachée 1kg</v>
      </c>
      <c r="Q16" t="str">
        <f t="shared" si="3"/>
        <v>Viande hachée</v>
      </c>
      <c r="R16" s="1">
        <f t="shared" si="4"/>
        <v>9.4394285714285715</v>
      </c>
      <c r="S16" cm="1">
        <f t="array" ref="S16">_xlfn.MODE.SNGL(_xlfn._xlws.FILTER($G$2:$G$1207,$D$2:$D$1207=P16))</f>
        <v>8.8800000000000008</v>
      </c>
      <c r="T16" cm="1">
        <f t="array" ref="T16">COUNT(_xlfn._xlws.FILTER($G$2:$G$1207,$D$2:$D$1207=P16))</f>
        <v>105</v>
      </c>
      <c r="U16" cm="1">
        <f t="array" ref="U16">COUNT(IF($G$2:$G$1207=S16,1))</f>
        <v>4</v>
      </c>
      <c r="V16" s="1">
        <f t="shared" si="1"/>
        <v>8.3800000000000008</v>
      </c>
      <c r="W16" s="1">
        <f t="shared" si="2"/>
        <v>10.57</v>
      </c>
      <c r="X16" s="1">
        <f t="shared" si="5"/>
        <v>9.4394285714285715</v>
      </c>
      <c r="Y16" cm="1">
        <f t="array" ref="Y16">_xlfn.MODE.SNGL(_xlfn._xlws.FILTER($E$2:$E$1207,_xlfn.ANCHORARRAY($I$2)=Q16))</f>
        <v>6</v>
      </c>
    </row>
    <row r="17" spans="1:21" x14ac:dyDescent="0.25">
      <c r="A17" t="s">
        <v>56</v>
      </c>
      <c r="B17" t="s">
        <v>57</v>
      </c>
      <c r="C17" t="s">
        <v>9</v>
      </c>
      <c r="D17" t="s">
        <v>10</v>
      </c>
      <c r="E17">
        <v>4</v>
      </c>
      <c r="F17" t="s">
        <v>11</v>
      </c>
      <c r="G17">
        <v>14.66</v>
      </c>
      <c r="H17" t="str" cm="1">
        <f t="array" ref="H17">_xlfn.XLOOKUP(TRIM(C17),_xlfn.ANCHORARRAY($L$5),$M$5:$M$18)</f>
        <v>Metro</v>
      </c>
      <c r="I17" t="str">
        <v>Coca Cola</v>
      </c>
      <c r="J17">
        <f t="shared" si="0"/>
        <v>4</v>
      </c>
      <c r="L17" t="str">
        <v>Moulin du Nord</v>
      </c>
      <c r="M17" t="s">
        <v>50</v>
      </c>
    </row>
    <row r="18" spans="1:21" x14ac:dyDescent="0.25">
      <c r="A18" t="s">
        <v>58</v>
      </c>
      <c r="B18" t="s">
        <v>57</v>
      </c>
      <c r="C18" t="s">
        <v>59</v>
      </c>
      <c r="D18" t="s">
        <v>14</v>
      </c>
      <c r="E18">
        <v>6</v>
      </c>
      <c r="F18" t="s">
        <v>11</v>
      </c>
      <c r="G18">
        <v>13.12</v>
      </c>
      <c r="H18" t="str" cm="1">
        <f t="array" ref="H18">_xlfn.XLOOKUP(TRIM(C18),_xlfn.ANCHORARRAY($L$5),$M$5:$M$18)</f>
        <v>Metro</v>
      </c>
      <c r="I18" t="str">
        <v>7up</v>
      </c>
      <c r="J18">
        <f t="shared" si="0"/>
        <v>6</v>
      </c>
      <c r="L18" t="str">
        <v>Moulins du Nord</v>
      </c>
      <c r="M18" t="s">
        <v>50</v>
      </c>
    </row>
    <row r="19" spans="1:21" x14ac:dyDescent="0.25">
      <c r="A19" t="s">
        <v>60</v>
      </c>
      <c r="B19" t="s">
        <v>57</v>
      </c>
      <c r="C19" t="s">
        <v>61</v>
      </c>
      <c r="D19" t="s">
        <v>16</v>
      </c>
      <c r="E19">
        <v>4</v>
      </c>
      <c r="F19" t="s">
        <v>17</v>
      </c>
      <c r="G19">
        <v>1.24</v>
      </c>
      <c r="H19" t="str" cm="1">
        <f t="array" ref="H19">_xlfn.XLOOKUP(TRIM(C19),_xlfn.ANCHORARRAY($L$5),$M$5:$M$18)</f>
        <v>Metro</v>
      </c>
      <c r="I19" t="str">
        <v>Sel</v>
      </c>
      <c r="J19">
        <f t="shared" si="0"/>
        <v>4</v>
      </c>
    </row>
    <row r="20" spans="1:21" x14ac:dyDescent="0.25">
      <c r="A20" t="s">
        <v>62</v>
      </c>
      <c r="B20" t="s">
        <v>63</v>
      </c>
      <c r="C20" t="s">
        <v>64</v>
      </c>
      <c r="D20" t="s">
        <v>33</v>
      </c>
      <c r="E20">
        <v>5</v>
      </c>
      <c r="F20" t="s">
        <v>17</v>
      </c>
      <c r="G20">
        <v>8.8800000000000008</v>
      </c>
      <c r="H20" t="str" cm="1">
        <f t="array" ref="H20">_xlfn.XLOOKUP(TRIM(C20),_xlfn.ANCHORARRAY($L$5),$M$5:$M$18)</f>
        <v>B. Halal Pro</v>
      </c>
      <c r="I20" t="str">
        <v>Viande hachée</v>
      </c>
      <c r="J20">
        <f t="shared" si="0"/>
        <v>5</v>
      </c>
      <c r="T20" cm="1">
        <f t="array" ref="T20:T124">_xlfn._xlws.FILTER(G2:G1207,D2:D1207=P5)</f>
        <v>13.61</v>
      </c>
      <c r="U20">
        <f>_xlfn.MODE.SNGL(_xlfn.ANCHORARRAY(T20))</f>
        <v>13.12</v>
      </c>
    </row>
    <row r="21" spans="1:21" x14ac:dyDescent="0.25">
      <c r="A21" t="s">
        <v>65</v>
      </c>
      <c r="B21" t="s">
        <v>63</v>
      </c>
      <c r="C21" t="s">
        <v>66</v>
      </c>
      <c r="D21" t="s">
        <v>35</v>
      </c>
      <c r="E21">
        <v>6</v>
      </c>
      <c r="F21" t="s">
        <v>17</v>
      </c>
      <c r="G21">
        <v>6.93</v>
      </c>
      <c r="H21" t="str" cm="1">
        <f t="array" ref="H21">_xlfn.XLOOKUP(TRIM(C21),_xlfn.ANCHORARRAY($L$5),$M$5:$M$18)</f>
        <v>B. Halal Pro</v>
      </c>
      <c r="I21" t="str">
        <v>Poulet émincé</v>
      </c>
      <c r="J21">
        <f t="shared" si="0"/>
        <v>6</v>
      </c>
      <c r="T21">
        <v>13.12</v>
      </c>
      <c r="U21">
        <f>MIN(_xlfn.ANCHORARRAY(T20))</f>
        <v>12.85</v>
      </c>
    </row>
    <row r="22" spans="1:21" x14ac:dyDescent="0.25">
      <c r="A22" t="s">
        <v>67</v>
      </c>
      <c r="B22" t="s">
        <v>63</v>
      </c>
      <c r="C22" t="s">
        <v>37</v>
      </c>
      <c r="D22" t="s">
        <v>38</v>
      </c>
      <c r="E22">
        <v>12</v>
      </c>
      <c r="F22" t="s">
        <v>39</v>
      </c>
      <c r="G22">
        <v>5.76</v>
      </c>
      <c r="H22" t="str" cm="1">
        <f t="array" ref="H22">_xlfn.XLOOKUP(TRIM(C22),_xlfn.ANCHORARRAY($L$5),$M$5:$M$18)</f>
        <v>Boul. Express</v>
      </c>
      <c r="I22" t="str">
        <v>Pain burger</v>
      </c>
      <c r="J22">
        <f t="shared" si="0"/>
        <v>12</v>
      </c>
      <c r="T22">
        <v>12.91</v>
      </c>
      <c r="U22">
        <f>MAX(_xlfn.ANCHORARRAY(T20))</f>
        <v>13.98</v>
      </c>
    </row>
    <row r="23" spans="1:21" x14ac:dyDescent="0.25">
      <c r="A23" t="s">
        <v>68</v>
      </c>
      <c r="B23" t="s">
        <v>63</v>
      </c>
      <c r="C23" t="s">
        <v>69</v>
      </c>
      <c r="D23" t="s">
        <v>42</v>
      </c>
      <c r="E23">
        <v>8</v>
      </c>
      <c r="F23" t="s">
        <v>43</v>
      </c>
      <c r="G23">
        <v>3.86</v>
      </c>
      <c r="H23" t="str" cm="1">
        <f t="array" ref="H23">_xlfn.XLOOKUP(TRIM(C23),_xlfn.ANCHORARRAY($L$5),$M$5:$M$18)</f>
        <v>Boul. Express</v>
      </c>
      <c r="I23" t="str">
        <v>Pain pita</v>
      </c>
      <c r="J23">
        <f t="shared" si="0"/>
        <v>8</v>
      </c>
      <c r="P23" cm="1">
        <f t="array" ref="P23:P74">_xlfn._xlws.FILTER($G$2:$G$1207,$D$2:$D$1207=P7)</f>
        <v>18.82</v>
      </c>
      <c r="R23">
        <f>COUNT(_xlfn.ANCHORARRAY(P23))</f>
        <v>52</v>
      </c>
      <c r="T23">
        <v>13.65</v>
      </c>
    </row>
    <row r="24" spans="1:21" x14ac:dyDescent="0.25">
      <c r="A24" t="s">
        <v>70</v>
      </c>
      <c r="B24" t="s">
        <v>71</v>
      </c>
      <c r="C24" t="s">
        <v>54</v>
      </c>
      <c r="D24" t="s">
        <v>55</v>
      </c>
      <c r="E24">
        <v>10</v>
      </c>
      <c r="F24" t="s">
        <v>17</v>
      </c>
      <c r="G24">
        <v>9.43</v>
      </c>
      <c r="H24" t="str" cm="1">
        <f t="array" ref="H24">_xlfn.XLOOKUP(TRIM(C24),_xlfn.ANCHORARRAY($L$5),$M$5:$M$18)</f>
        <v>Fromag. Centrale</v>
      </c>
      <c r="I24" t="str">
        <v>Mozzarella</v>
      </c>
      <c r="J24">
        <f t="shared" si="0"/>
        <v>10</v>
      </c>
      <c r="P24">
        <v>17.899999999999999</v>
      </c>
      <c r="T24">
        <v>13.31</v>
      </c>
    </row>
    <row r="25" spans="1:21" x14ac:dyDescent="0.25">
      <c r="A25" t="s">
        <v>72</v>
      </c>
      <c r="B25" t="s">
        <v>73</v>
      </c>
      <c r="C25" t="s">
        <v>59</v>
      </c>
      <c r="D25" t="s">
        <v>10</v>
      </c>
      <c r="E25">
        <v>5</v>
      </c>
      <c r="F25" t="s">
        <v>11</v>
      </c>
      <c r="G25">
        <v>14.25</v>
      </c>
      <c r="H25" t="str" cm="1">
        <f t="array" ref="H25">_xlfn.XLOOKUP(TRIM(C25),_xlfn.ANCHORARRAY($L$5),$M$5:$M$18)</f>
        <v>Metro</v>
      </c>
      <c r="I25" t="str">
        <v>Coca Cola</v>
      </c>
      <c r="J25">
        <f t="shared" si="0"/>
        <v>5</v>
      </c>
      <c r="L25" cm="1">
        <f t="array" ref="L25:L76">_xlfn._xlws.FILTER($E$2:$E$1207,_xlfn.ANCHORARRAY($I$2)=Q7)</f>
        <v>3</v>
      </c>
      <c r="M25">
        <f>_xlfn.MODE.SNGL(_xlfn.ANCHORARRAY(L25))</f>
        <v>2</v>
      </c>
      <c r="P25">
        <v>19.18</v>
      </c>
      <c r="T25">
        <v>13.91</v>
      </c>
    </row>
    <row r="26" spans="1:21" x14ac:dyDescent="0.25">
      <c r="A26" t="s">
        <v>74</v>
      </c>
      <c r="B26" t="s">
        <v>73</v>
      </c>
      <c r="C26" t="s">
        <v>61</v>
      </c>
      <c r="D26" t="s">
        <v>14</v>
      </c>
      <c r="E26">
        <v>6</v>
      </c>
      <c r="F26" t="s">
        <v>11</v>
      </c>
      <c r="G26">
        <v>12.91</v>
      </c>
      <c r="H26" t="str" cm="1">
        <f t="array" ref="H26">_xlfn.XLOOKUP(TRIM(C26),_xlfn.ANCHORARRAY($L$5),$M$5:$M$18)</f>
        <v>Metro</v>
      </c>
      <c r="I26" t="str">
        <v>7up</v>
      </c>
      <c r="J26">
        <f t="shared" si="0"/>
        <v>6</v>
      </c>
      <c r="L26">
        <v>3</v>
      </c>
      <c r="M26">
        <f>COUNTIF(_xlfn.ANCHORARRAY(L25),M25)</f>
        <v>20</v>
      </c>
      <c r="P26">
        <v>19.2</v>
      </c>
      <c r="T26">
        <v>12.94</v>
      </c>
    </row>
    <row r="27" spans="1:21" x14ac:dyDescent="0.25">
      <c r="A27" t="s">
        <v>75</v>
      </c>
      <c r="B27" t="s">
        <v>73</v>
      </c>
      <c r="C27" t="s">
        <v>9</v>
      </c>
      <c r="D27" t="s">
        <v>16</v>
      </c>
      <c r="E27">
        <v>4</v>
      </c>
      <c r="F27" t="s">
        <v>17</v>
      </c>
      <c r="G27">
        <v>1.23</v>
      </c>
      <c r="H27" t="str" cm="1">
        <f t="array" ref="H27">_xlfn.XLOOKUP(TRIM(C27),_xlfn.ANCHORARRAY($L$5),$M$5:$M$18)</f>
        <v>Metro</v>
      </c>
      <c r="I27" t="str">
        <v>Sel</v>
      </c>
      <c r="J27">
        <f t="shared" si="0"/>
        <v>4</v>
      </c>
      <c r="L27">
        <v>2</v>
      </c>
      <c r="M27">
        <f>COUNT(_xlfn.ANCHORARRAY(L25))</f>
        <v>52</v>
      </c>
      <c r="N27">
        <f>M26/M27</f>
        <v>0.38461538461538464</v>
      </c>
      <c r="P27">
        <v>19.100000000000001</v>
      </c>
      <c r="T27">
        <v>13.84</v>
      </c>
    </row>
    <row r="28" spans="1:21" x14ac:dyDescent="0.25">
      <c r="A28" t="s">
        <v>76</v>
      </c>
      <c r="B28" t="s">
        <v>73</v>
      </c>
      <c r="C28" t="s">
        <v>23</v>
      </c>
      <c r="D28" t="s">
        <v>20</v>
      </c>
      <c r="E28">
        <v>10</v>
      </c>
      <c r="F28" t="s">
        <v>21</v>
      </c>
      <c r="G28">
        <v>4.32</v>
      </c>
      <c r="H28" t="str" cm="1">
        <f t="array" ref="H28">_xlfn.XLOOKUP(TRIM(C28),_xlfn.ANCHORARRAY($L$5),$M$5:$M$18)</f>
        <v>LEGUMEX</v>
      </c>
      <c r="I28" t="str">
        <v>Tomates pelées</v>
      </c>
      <c r="J28">
        <f t="shared" si="0"/>
        <v>10</v>
      </c>
      <c r="L28">
        <v>2</v>
      </c>
      <c r="P28">
        <v>18.52</v>
      </c>
      <c r="T28">
        <v>13.26</v>
      </c>
    </row>
    <row r="29" spans="1:21" x14ac:dyDescent="0.25">
      <c r="A29" t="s">
        <v>77</v>
      </c>
      <c r="B29" t="s">
        <v>73</v>
      </c>
      <c r="C29" t="s">
        <v>23</v>
      </c>
      <c r="D29" t="s">
        <v>24</v>
      </c>
      <c r="E29">
        <v>4</v>
      </c>
      <c r="F29" t="s">
        <v>25</v>
      </c>
      <c r="G29">
        <v>22.41</v>
      </c>
      <c r="H29" t="str" cm="1">
        <f t="array" ref="H29">_xlfn.XLOOKUP(TRIM(C29),_xlfn.ANCHORARRAY($L$5),$M$5:$M$18)</f>
        <v>LEGUMEX</v>
      </c>
      <c r="I29" t="str">
        <v>Huile olive</v>
      </c>
      <c r="J29">
        <f t="shared" si="0"/>
        <v>4</v>
      </c>
      <c r="L29">
        <v>2</v>
      </c>
      <c r="P29">
        <v>19.09</v>
      </c>
      <c r="T29">
        <v>12.98</v>
      </c>
    </row>
    <row r="30" spans="1:21" x14ac:dyDescent="0.25">
      <c r="A30" t="s">
        <v>78</v>
      </c>
      <c r="B30" t="s">
        <v>73</v>
      </c>
      <c r="C30" t="s">
        <v>27</v>
      </c>
      <c r="D30" t="s">
        <v>28</v>
      </c>
      <c r="E30">
        <v>8</v>
      </c>
      <c r="F30" t="s">
        <v>29</v>
      </c>
      <c r="G30">
        <v>10.18</v>
      </c>
      <c r="H30" t="str" cm="1">
        <f t="array" ref="H30">_xlfn.XLOOKUP(TRIM(C30),_xlfn.ANCHORARRAY($L$5),$M$5:$M$18)</f>
        <v>LEGUMEX</v>
      </c>
      <c r="I30" t="str">
        <v>Sauce tomate</v>
      </c>
      <c r="J30">
        <f t="shared" si="0"/>
        <v>8</v>
      </c>
      <c r="L30">
        <v>3</v>
      </c>
      <c r="P30">
        <v>18.02</v>
      </c>
      <c r="T30">
        <v>13.08</v>
      </c>
    </row>
    <row r="31" spans="1:21" x14ac:dyDescent="0.25">
      <c r="A31" t="s">
        <v>79</v>
      </c>
      <c r="B31" t="s">
        <v>80</v>
      </c>
      <c r="C31" t="s">
        <v>32</v>
      </c>
      <c r="D31" t="s">
        <v>33</v>
      </c>
      <c r="E31">
        <v>10</v>
      </c>
      <c r="F31" t="s">
        <v>17</v>
      </c>
      <c r="G31">
        <v>8.61</v>
      </c>
      <c r="H31" t="str" cm="1">
        <f t="array" ref="H31">_xlfn.XLOOKUP(TRIM(C31),_xlfn.ANCHORARRAY($L$5),$M$5:$M$18)</f>
        <v>B. Halal Pro</v>
      </c>
      <c r="I31" t="str">
        <v>Viande hachée</v>
      </c>
      <c r="J31">
        <f t="shared" si="0"/>
        <v>10</v>
      </c>
      <c r="L31">
        <v>3</v>
      </c>
      <c r="P31">
        <v>17.920000000000002</v>
      </c>
      <c r="T31">
        <v>13.58</v>
      </c>
    </row>
    <row r="32" spans="1:21" x14ac:dyDescent="0.25">
      <c r="A32" t="s">
        <v>81</v>
      </c>
      <c r="B32" t="s">
        <v>80</v>
      </c>
      <c r="C32" t="s">
        <v>64</v>
      </c>
      <c r="D32" t="s">
        <v>35</v>
      </c>
      <c r="E32">
        <v>8</v>
      </c>
      <c r="F32" t="s">
        <v>17</v>
      </c>
      <c r="G32">
        <v>7.72</v>
      </c>
      <c r="H32" t="str" cm="1">
        <f t="array" ref="H32">_xlfn.XLOOKUP(TRIM(C32),_xlfn.ANCHORARRAY($L$5),$M$5:$M$18)</f>
        <v>B. Halal Pro</v>
      </c>
      <c r="I32" t="str">
        <v>Poulet émincé</v>
      </c>
      <c r="J32">
        <f t="shared" si="0"/>
        <v>8</v>
      </c>
      <c r="L32">
        <v>3</v>
      </c>
      <c r="P32">
        <v>18.64</v>
      </c>
      <c r="T32">
        <v>12.93</v>
      </c>
    </row>
    <row r="33" spans="1:20" x14ac:dyDescent="0.25">
      <c r="A33" t="s">
        <v>82</v>
      </c>
      <c r="B33" t="s">
        <v>80</v>
      </c>
      <c r="C33" t="s">
        <v>83</v>
      </c>
      <c r="D33" t="s">
        <v>38</v>
      </c>
      <c r="E33">
        <v>5</v>
      </c>
      <c r="F33" t="s">
        <v>39</v>
      </c>
      <c r="G33">
        <v>5.86</v>
      </c>
      <c r="H33" t="str" cm="1">
        <f t="array" ref="H33">_xlfn.XLOOKUP(TRIM(C33),_xlfn.ANCHORARRAY($L$5),$M$5:$M$18)</f>
        <v>Boul. Express</v>
      </c>
      <c r="I33" t="str">
        <v>Pain burger</v>
      </c>
      <c r="J33">
        <f t="shared" si="0"/>
        <v>5</v>
      </c>
      <c r="L33">
        <v>2</v>
      </c>
      <c r="P33">
        <v>18.52</v>
      </c>
      <c r="T33">
        <v>13.34</v>
      </c>
    </row>
    <row r="34" spans="1:20" x14ac:dyDescent="0.25">
      <c r="A34" t="s">
        <v>84</v>
      </c>
      <c r="B34" t="s">
        <v>80</v>
      </c>
      <c r="C34" t="s">
        <v>37</v>
      </c>
      <c r="D34" t="s">
        <v>42</v>
      </c>
      <c r="E34">
        <v>8</v>
      </c>
      <c r="F34" t="s">
        <v>43</v>
      </c>
      <c r="G34">
        <v>4.0199999999999996</v>
      </c>
      <c r="H34" t="str" cm="1">
        <f t="array" ref="H34">_xlfn.XLOOKUP(TRIM(C34),_xlfn.ANCHORARRAY($L$5),$M$5:$M$18)</f>
        <v>Boul. Express</v>
      </c>
      <c r="I34" t="str">
        <v>Pain pita</v>
      </c>
      <c r="J34">
        <f t="shared" si="0"/>
        <v>8</v>
      </c>
      <c r="L34">
        <v>4</v>
      </c>
      <c r="P34">
        <v>18.64</v>
      </c>
      <c r="T34">
        <v>12.86</v>
      </c>
    </row>
    <row r="35" spans="1:20" x14ac:dyDescent="0.25">
      <c r="A35" t="s">
        <v>85</v>
      </c>
      <c r="B35" t="s">
        <v>86</v>
      </c>
      <c r="C35" t="s">
        <v>19</v>
      </c>
      <c r="D35" t="s">
        <v>20</v>
      </c>
      <c r="E35">
        <v>4</v>
      </c>
      <c r="F35" t="s">
        <v>21</v>
      </c>
      <c r="G35">
        <v>4.28</v>
      </c>
      <c r="H35" t="str" cm="1">
        <f t="array" ref="H35">_xlfn.XLOOKUP(TRIM(C35),_xlfn.ANCHORARRAY($L$5),$M$5:$M$18)</f>
        <v>LEGUMEX</v>
      </c>
      <c r="I35" t="str">
        <v>Tomates pelées</v>
      </c>
      <c r="J35">
        <f t="shared" si="0"/>
        <v>4</v>
      </c>
      <c r="L35">
        <v>4</v>
      </c>
      <c r="P35">
        <v>19.29</v>
      </c>
      <c r="T35">
        <v>13.31</v>
      </c>
    </row>
    <row r="36" spans="1:20" x14ac:dyDescent="0.25">
      <c r="A36" t="s">
        <v>87</v>
      </c>
      <c r="B36" t="s">
        <v>86</v>
      </c>
      <c r="C36" t="s">
        <v>23</v>
      </c>
      <c r="D36" t="s">
        <v>24</v>
      </c>
      <c r="E36">
        <v>8</v>
      </c>
      <c r="F36" t="s">
        <v>25</v>
      </c>
      <c r="G36">
        <v>20.96</v>
      </c>
      <c r="H36" t="str" cm="1">
        <f t="array" ref="H36">_xlfn.XLOOKUP(TRIM(C36),_xlfn.ANCHORARRAY($L$5),$M$5:$M$18)</f>
        <v>LEGUMEX</v>
      </c>
      <c r="I36" t="str">
        <v>Huile olive</v>
      </c>
      <c r="J36">
        <f t="shared" si="0"/>
        <v>8</v>
      </c>
      <c r="L36">
        <v>4</v>
      </c>
      <c r="P36">
        <v>18.190000000000001</v>
      </c>
      <c r="T36">
        <v>13.89</v>
      </c>
    </row>
    <row r="37" spans="1:20" x14ac:dyDescent="0.25">
      <c r="A37" t="s">
        <v>88</v>
      </c>
      <c r="B37" t="s">
        <v>86</v>
      </c>
      <c r="C37" t="s">
        <v>46</v>
      </c>
      <c r="D37" t="s">
        <v>28</v>
      </c>
      <c r="E37">
        <v>6</v>
      </c>
      <c r="F37" t="s">
        <v>29</v>
      </c>
      <c r="G37">
        <v>9.6199999999999992</v>
      </c>
      <c r="H37" t="str" cm="1">
        <f t="array" ref="H37">_xlfn.XLOOKUP(TRIM(C37),_xlfn.ANCHORARRAY($L$5),$M$5:$M$18)</f>
        <v>LEGUMEX</v>
      </c>
      <c r="I37" t="str">
        <v>Sauce tomate</v>
      </c>
      <c r="J37">
        <f t="shared" si="0"/>
        <v>6</v>
      </c>
      <c r="L37">
        <v>0</v>
      </c>
      <c r="P37">
        <v>18.079999999999998</v>
      </c>
      <c r="T37">
        <v>13.35</v>
      </c>
    </row>
    <row r="38" spans="1:20" x14ac:dyDescent="0.25">
      <c r="A38" t="s">
        <v>89</v>
      </c>
      <c r="B38" t="s">
        <v>86</v>
      </c>
      <c r="C38" t="s">
        <v>90</v>
      </c>
      <c r="D38" t="s">
        <v>51</v>
      </c>
      <c r="E38">
        <v>3</v>
      </c>
      <c r="F38" t="s">
        <v>52</v>
      </c>
      <c r="G38">
        <v>17.899999999999999</v>
      </c>
      <c r="H38" t="str" cm="1">
        <f t="array" ref="H38">_xlfn.XLOOKUP(TRIM(C38),_xlfn.ANCHORARRAY($L$5),$M$5:$M$18)</f>
        <v>Moulin du Nord</v>
      </c>
      <c r="I38" t="str">
        <v>Farine</v>
      </c>
      <c r="J38">
        <f t="shared" si="0"/>
        <v>3</v>
      </c>
      <c r="L38">
        <v>2</v>
      </c>
      <c r="P38">
        <v>17.84</v>
      </c>
      <c r="T38">
        <v>13.98</v>
      </c>
    </row>
    <row r="39" spans="1:20" x14ac:dyDescent="0.25">
      <c r="A39" t="s">
        <v>91</v>
      </c>
      <c r="B39" t="s">
        <v>86</v>
      </c>
      <c r="C39" t="s">
        <v>92</v>
      </c>
      <c r="D39" t="s">
        <v>55</v>
      </c>
      <c r="E39">
        <v>10</v>
      </c>
      <c r="F39" t="s">
        <v>17</v>
      </c>
      <c r="G39">
        <v>8.5500000000000007</v>
      </c>
      <c r="H39" t="str" cm="1">
        <f t="array" ref="H39">_xlfn.XLOOKUP(TRIM(C39),_xlfn.ANCHORARRAY($L$5),$M$5:$M$18)</f>
        <v>Fromag. Centrale</v>
      </c>
      <c r="I39" t="str">
        <v>Mozzarella</v>
      </c>
      <c r="J39">
        <f t="shared" si="0"/>
        <v>10</v>
      </c>
      <c r="L39">
        <v>2</v>
      </c>
      <c r="P39">
        <v>18.22</v>
      </c>
      <c r="T39">
        <v>13.56</v>
      </c>
    </row>
    <row r="40" spans="1:20" x14ac:dyDescent="0.25">
      <c r="A40" t="s">
        <v>93</v>
      </c>
      <c r="B40" t="s">
        <v>94</v>
      </c>
      <c r="C40" t="s">
        <v>13</v>
      </c>
      <c r="D40" t="s">
        <v>10</v>
      </c>
      <c r="E40">
        <v>5</v>
      </c>
      <c r="F40" t="s">
        <v>11</v>
      </c>
      <c r="G40">
        <v>14.65</v>
      </c>
      <c r="H40" t="str" cm="1">
        <f t="array" ref="H40">_xlfn.XLOOKUP(TRIM(C40),_xlfn.ANCHORARRAY($L$5),$M$5:$M$18)</f>
        <v>Metro</v>
      </c>
      <c r="I40" t="str">
        <v>Coca Cola</v>
      </c>
      <c r="J40">
        <f t="shared" si="0"/>
        <v>5</v>
      </c>
      <c r="L40">
        <v>3</v>
      </c>
      <c r="P40">
        <v>18.27</v>
      </c>
      <c r="T40">
        <v>13.79</v>
      </c>
    </row>
    <row r="41" spans="1:20" x14ac:dyDescent="0.25">
      <c r="A41" t="s">
        <v>95</v>
      </c>
      <c r="B41" t="s">
        <v>94</v>
      </c>
      <c r="C41" t="s">
        <v>13</v>
      </c>
      <c r="D41" t="s">
        <v>14</v>
      </c>
      <c r="E41">
        <v>4</v>
      </c>
      <c r="F41" t="s">
        <v>11</v>
      </c>
      <c r="G41">
        <v>13.65</v>
      </c>
      <c r="H41" t="str" cm="1">
        <f t="array" ref="H41">_xlfn.XLOOKUP(TRIM(C41),_xlfn.ANCHORARRAY($L$5),$M$5:$M$18)</f>
        <v>Metro</v>
      </c>
      <c r="I41" t="str">
        <v>7up</v>
      </c>
      <c r="J41">
        <f t="shared" si="0"/>
        <v>4</v>
      </c>
      <c r="L41">
        <v>2</v>
      </c>
      <c r="P41">
        <v>18.97</v>
      </c>
      <c r="T41">
        <v>13.89</v>
      </c>
    </row>
    <row r="42" spans="1:20" x14ac:dyDescent="0.25">
      <c r="A42" t="s">
        <v>96</v>
      </c>
      <c r="B42" t="s">
        <v>94</v>
      </c>
      <c r="C42" t="s">
        <v>97</v>
      </c>
      <c r="D42" t="s">
        <v>16</v>
      </c>
      <c r="E42">
        <v>6</v>
      </c>
      <c r="F42" t="s">
        <v>17</v>
      </c>
      <c r="G42">
        <v>1.26</v>
      </c>
      <c r="H42" t="str" cm="1">
        <f t="array" ref="H42">_xlfn.XLOOKUP(TRIM(C42),_xlfn.ANCHORARRAY($L$5),$M$5:$M$18)</f>
        <v>Metro</v>
      </c>
      <c r="I42" t="str">
        <v>Sel</v>
      </c>
      <c r="J42">
        <f t="shared" si="0"/>
        <v>6</v>
      </c>
      <c r="L42">
        <v>2</v>
      </c>
      <c r="P42">
        <v>18.690000000000001</v>
      </c>
      <c r="T42">
        <v>13.82</v>
      </c>
    </row>
    <row r="43" spans="1:20" x14ac:dyDescent="0.25">
      <c r="A43" t="s">
        <v>98</v>
      </c>
      <c r="B43" t="s">
        <v>99</v>
      </c>
      <c r="C43" t="s">
        <v>100</v>
      </c>
      <c r="D43" t="s">
        <v>33</v>
      </c>
      <c r="F43" t="s">
        <v>17</v>
      </c>
      <c r="G43">
        <v>8.8699999999999992</v>
      </c>
      <c r="H43" t="str" cm="1">
        <f t="array" ref="H43">_xlfn.XLOOKUP(TRIM(C43),_xlfn.ANCHORARRAY($L$5),$M$5:$M$18)</f>
        <v>B. Halal Pro</v>
      </c>
      <c r="I43" t="str">
        <v>Viande hachée</v>
      </c>
      <c r="J43">
        <f t="shared" si="0"/>
        <v>6</v>
      </c>
      <c r="L43">
        <v>3</v>
      </c>
      <c r="P43">
        <v>19.079999999999998</v>
      </c>
      <c r="T43">
        <v>13.35</v>
      </c>
    </row>
    <row r="44" spans="1:20" x14ac:dyDescent="0.25">
      <c r="A44" t="s">
        <v>101</v>
      </c>
      <c r="B44" t="s">
        <v>99</v>
      </c>
      <c r="C44" t="s">
        <v>100</v>
      </c>
      <c r="D44" t="s">
        <v>35</v>
      </c>
      <c r="E44">
        <v>5</v>
      </c>
      <c r="F44" t="s">
        <v>17</v>
      </c>
      <c r="G44">
        <v>7.3</v>
      </c>
      <c r="H44" t="str" cm="1">
        <f t="array" ref="H44">_xlfn.XLOOKUP(TRIM(C44),_xlfn.ANCHORARRAY($L$5),$M$5:$M$18)</f>
        <v>B. Halal Pro</v>
      </c>
      <c r="I44" t="str">
        <v>Poulet émincé</v>
      </c>
      <c r="J44">
        <f t="shared" si="0"/>
        <v>5</v>
      </c>
      <c r="L44">
        <v>2</v>
      </c>
      <c r="P44">
        <v>18.059999999999999</v>
      </c>
      <c r="T44">
        <v>13.18</v>
      </c>
    </row>
    <row r="45" spans="1:20" x14ac:dyDescent="0.25">
      <c r="A45" t="s">
        <v>102</v>
      </c>
      <c r="B45" t="s">
        <v>99</v>
      </c>
      <c r="C45" t="s">
        <v>41</v>
      </c>
      <c r="D45" t="s">
        <v>38</v>
      </c>
      <c r="E45">
        <v>5</v>
      </c>
      <c r="F45" t="s">
        <v>39</v>
      </c>
      <c r="G45">
        <v>5.76</v>
      </c>
      <c r="H45" t="str" cm="1">
        <f t="array" ref="H45">_xlfn.XLOOKUP(TRIM(C45),_xlfn.ANCHORARRAY($L$5),$M$5:$M$18)</f>
        <v>Boul. Express</v>
      </c>
      <c r="I45" t="str">
        <v>Pain burger</v>
      </c>
      <c r="J45">
        <f t="shared" si="0"/>
        <v>5</v>
      </c>
      <c r="L45">
        <v>4</v>
      </c>
      <c r="P45">
        <v>18.41</v>
      </c>
      <c r="T45">
        <v>13.21</v>
      </c>
    </row>
    <row r="46" spans="1:20" x14ac:dyDescent="0.25">
      <c r="A46" t="s">
        <v>103</v>
      </c>
      <c r="B46" t="s">
        <v>99</v>
      </c>
      <c r="C46" t="s">
        <v>41</v>
      </c>
      <c r="D46" t="s">
        <v>42</v>
      </c>
      <c r="E46">
        <v>10</v>
      </c>
      <c r="F46" t="s">
        <v>43</v>
      </c>
      <c r="G46">
        <v>3.94</v>
      </c>
      <c r="H46" t="str" cm="1">
        <f t="array" ref="H46">_xlfn.XLOOKUP(TRIM(C46),_xlfn.ANCHORARRAY($L$5),$M$5:$M$18)</f>
        <v>Boul. Express</v>
      </c>
      <c r="I46" t="str">
        <v>Pain pita</v>
      </c>
      <c r="J46">
        <f t="shared" si="0"/>
        <v>10</v>
      </c>
      <c r="L46">
        <v>2</v>
      </c>
      <c r="P46">
        <v>18.649999999999999</v>
      </c>
      <c r="T46">
        <v>13.15</v>
      </c>
    </row>
    <row r="47" spans="1:20" x14ac:dyDescent="0.25">
      <c r="A47" t="s">
        <v>104</v>
      </c>
      <c r="B47" t="s">
        <v>105</v>
      </c>
      <c r="C47" t="s">
        <v>92</v>
      </c>
      <c r="D47" t="s">
        <v>55</v>
      </c>
      <c r="E47">
        <v>10</v>
      </c>
      <c r="F47" t="s">
        <v>17</v>
      </c>
      <c r="G47">
        <v>9.1300000000000008</v>
      </c>
      <c r="H47" t="str" cm="1">
        <f t="array" ref="H47">_xlfn.XLOOKUP(TRIM(C47),_xlfn.ANCHORARRAY($L$5),$M$5:$M$18)</f>
        <v>Fromag. Centrale</v>
      </c>
      <c r="I47" t="str">
        <v>Mozzarella</v>
      </c>
      <c r="J47">
        <f t="shared" si="0"/>
        <v>10</v>
      </c>
      <c r="L47">
        <v>3</v>
      </c>
      <c r="P47">
        <v>17.899999999999999</v>
      </c>
      <c r="T47">
        <v>13.83</v>
      </c>
    </row>
    <row r="48" spans="1:20" x14ac:dyDescent="0.25">
      <c r="A48" t="s">
        <v>106</v>
      </c>
      <c r="B48" t="s">
        <v>107</v>
      </c>
      <c r="C48" t="s">
        <v>59</v>
      </c>
      <c r="D48" t="s">
        <v>10</v>
      </c>
      <c r="E48">
        <v>6</v>
      </c>
      <c r="F48" t="s">
        <v>11</v>
      </c>
      <c r="G48">
        <v>14.21</v>
      </c>
      <c r="H48" t="str" cm="1">
        <f t="array" ref="H48">_xlfn.XLOOKUP(TRIM(C48),_xlfn.ANCHORARRAY($L$5),$M$5:$M$18)</f>
        <v>Metro</v>
      </c>
      <c r="I48" t="str">
        <v>Coca Cola</v>
      </c>
      <c r="J48">
        <f t="shared" si="0"/>
        <v>6</v>
      </c>
      <c r="L48">
        <v>0</v>
      </c>
      <c r="P48">
        <v>18.809999999999999</v>
      </c>
      <c r="T48">
        <v>13.4</v>
      </c>
    </row>
    <row r="49" spans="1:20" x14ac:dyDescent="0.25">
      <c r="A49" t="s">
        <v>108</v>
      </c>
      <c r="B49" t="s">
        <v>107</v>
      </c>
      <c r="C49" t="s">
        <v>59</v>
      </c>
      <c r="D49" t="s">
        <v>14</v>
      </c>
      <c r="E49">
        <v>5</v>
      </c>
      <c r="F49" t="s">
        <v>11</v>
      </c>
      <c r="G49">
        <v>13.31</v>
      </c>
      <c r="H49" t="str" cm="1">
        <f t="array" ref="H49">_xlfn.XLOOKUP(TRIM(C49),_xlfn.ANCHORARRAY($L$5),$M$5:$M$18)</f>
        <v>Metro</v>
      </c>
      <c r="I49" t="str">
        <v>7up</v>
      </c>
      <c r="J49">
        <f t="shared" si="0"/>
        <v>5</v>
      </c>
      <c r="L49">
        <v>2</v>
      </c>
      <c r="P49">
        <v>18.739999999999998</v>
      </c>
      <c r="T49">
        <v>13.51</v>
      </c>
    </row>
    <row r="50" spans="1:20" x14ac:dyDescent="0.25">
      <c r="A50" t="s">
        <v>109</v>
      </c>
      <c r="B50" t="s">
        <v>107</v>
      </c>
      <c r="C50" t="s">
        <v>9</v>
      </c>
      <c r="D50" t="s">
        <v>16</v>
      </c>
      <c r="E50">
        <v>3</v>
      </c>
      <c r="F50" t="s">
        <v>17</v>
      </c>
      <c r="G50">
        <v>1.17</v>
      </c>
      <c r="H50" t="str" cm="1">
        <f t="array" ref="H50">_xlfn.XLOOKUP(TRIM(C50),_xlfn.ANCHORARRAY($L$5),$M$5:$M$18)</f>
        <v>Metro</v>
      </c>
      <c r="I50" t="str">
        <v>Sel</v>
      </c>
      <c r="J50">
        <f t="shared" si="0"/>
        <v>3</v>
      </c>
      <c r="L50">
        <v>2</v>
      </c>
      <c r="P50">
        <v>18.3</v>
      </c>
      <c r="T50">
        <v>13.46</v>
      </c>
    </row>
    <row r="51" spans="1:20" x14ac:dyDescent="0.25">
      <c r="A51" t="s">
        <v>110</v>
      </c>
      <c r="B51" t="s">
        <v>107</v>
      </c>
      <c r="C51" t="s">
        <v>27</v>
      </c>
      <c r="D51" t="s">
        <v>20</v>
      </c>
      <c r="E51">
        <v>6</v>
      </c>
      <c r="F51" t="s">
        <v>21</v>
      </c>
      <c r="G51">
        <v>4.13</v>
      </c>
      <c r="H51" t="str" cm="1">
        <f t="array" ref="H51">_xlfn.XLOOKUP(TRIM(C51),_xlfn.ANCHORARRAY($L$5),$M$5:$M$18)</f>
        <v>LEGUMEX</v>
      </c>
      <c r="I51" t="str">
        <v>Tomates pelées</v>
      </c>
      <c r="J51">
        <f t="shared" si="0"/>
        <v>6</v>
      </c>
      <c r="L51">
        <v>3</v>
      </c>
      <c r="P51">
        <v>18.920000000000002</v>
      </c>
      <c r="T51">
        <v>13.09</v>
      </c>
    </row>
    <row r="52" spans="1:20" x14ac:dyDescent="0.25">
      <c r="A52" t="s">
        <v>111</v>
      </c>
      <c r="B52" t="s">
        <v>107</v>
      </c>
      <c r="C52" t="s">
        <v>19</v>
      </c>
      <c r="D52" t="s">
        <v>24</v>
      </c>
      <c r="E52">
        <v>8</v>
      </c>
      <c r="F52" t="s">
        <v>25</v>
      </c>
      <c r="G52">
        <v>22.11</v>
      </c>
      <c r="H52" t="str" cm="1">
        <f t="array" ref="H52">_xlfn.XLOOKUP(TRIM(C52),_xlfn.ANCHORARRAY($L$5),$M$5:$M$18)</f>
        <v>LEGUMEX</v>
      </c>
      <c r="I52" t="str">
        <v>Huile olive</v>
      </c>
      <c r="J52">
        <f t="shared" si="0"/>
        <v>8</v>
      </c>
      <c r="L52">
        <v>4</v>
      </c>
      <c r="P52">
        <v>19.3</v>
      </c>
      <c r="T52">
        <v>12.85</v>
      </c>
    </row>
    <row r="53" spans="1:20" x14ac:dyDescent="0.25">
      <c r="A53" t="s">
        <v>112</v>
      </c>
      <c r="B53" t="s">
        <v>107</v>
      </c>
      <c r="C53" t="s">
        <v>27</v>
      </c>
      <c r="D53" t="s">
        <v>28</v>
      </c>
      <c r="E53">
        <v>4</v>
      </c>
      <c r="F53" t="s">
        <v>29</v>
      </c>
      <c r="G53">
        <v>9.8699999999999992</v>
      </c>
      <c r="H53" t="str" cm="1">
        <f t="array" ref="H53">_xlfn.XLOOKUP(TRIM(C53),_xlfn.ANCHORARRAY($L$5),$M$5:$M$18)</f>
        <v>LEGUMEX</v>
      </c>
      <c r="I53" t="str">
        <v>Sauce tomate</v>
      </c>
      <c r="J53">
        <f t="shared" si="0"/>
        <v>4</v>
      </c>
      <c r="L53">
        <v>3</v>
      </c>
      <c r="P53">
        <v>19.38</v>
      </c>
      <c r="T53">
        <v>13.26</v>
      </c>
    </row>
    <row r="54" spans="1:20" x14ac:dyDescent="0.25">
      <c r="A54" t="s">
        <v>113</v>
      </c>
      <c r="B54" t="s">
        <v>114</v>
      </c>
      <c r="C54" t="s">
        <v>64</v>
      </c>
      <c r="D54" t="s">
        <v>33</v>
      </c>
      <c r="E54">
        <v>6</v>
      </c>
      <c r="F54" t="s">
        <v>17</v>
      </c>
      <c r="G54">
        <v>10.57</v>
      </c>
      <c r="H54" t="str" cm="1">
        <f t="array" ref="H54">_xlfn.XLOOKUP(TRIM(C54),_xlfn.ANCHORARRAY($L$5),$M$5:$M$18)</f>
        <v>B. Halal Pro</v>
      </c>
      <c r="I54" t="str">
        <v>Viande hachée</v>
      </c>
      <c r="J54">
        <f t="shared" si="0"/>
        <v>6</v>
      </c>
      <c r="L54">
        <v>2</v>
      </c>
      <c r="P54">
        <v>19.13</v>
      </c>
      <c r="T54">
        <v>13.01</v>
      </c>
    </row>
    <row r="55" spans="1:20" x14ac:dyDescent="0.25">
      <c r="A55" t="s">
        <v>115</v>
      </c>
      <c r="B55" t="s">
        <v>114</v>
      </c>
      <c r="C55" t="s">
        <v>66</v>
      </c>
      <c r="D55" t="s">
        <v>35</v>
      </c>
      <c r="E55">
        <v>10</v>
      </c>
      <c r="F55" t="s">
        <v>17</v>
      </c>
      <c r="G55">
        <v>7.18</v>
      </c>
      <c r="H55" t="str" cm="1">
        <f t="array" ref="H55">_xlfn.XLOOKUP(TRIM(C55),_xlfn.ANCHORARRAY($L$5),$M$5:$M$18)</f>
        <v>B. Halal Pro</v>
      </c>
      <c r="I55" t="str">
        <v>Poulet émincé</v>
      </c>
      <c r="J55">
        <f t="shared" si="0"/>
        <v>10</v>
      </c>
      <c r="L55">
        <v>2</v>
      </c>
      <c r="P55">
        <v>18.739999999999998</v>
      </c>
      <c r="T55">
        <v>13.53</v>
      </c>
    </row>
    <row r="56" spans="1:20" x14ac:dyDescent="0.25">
      <c r="A56" t="s">
        <v>116</v>
      </c>
      <c r="B56" t="s">
        <v>114</v>
      </c>
      <c r="C56" t="s">
        <v>83</v>
      </c>
      <c r="D56" t="s">
        <v>38</v>
      </c>
      <c r="E56">
        <v>12</v>
      </c>
      <c r="F56" t="s">
        <v>39</v>
      </c>
      <c r="G56">
        <v>5.82</v>
      </c>
      <c r="H56" t="str" cm="1">
        <f t="array" ref="H56">_xlfn.XLOOKUP(TRIM(C56),_xlfn.ANCHORARRAY($L$5),$M$5:$M$18)</f>
        <v>Boul. Express</v>
      </c>
      <c r="I56" t="str">
        <v>Pain burger</v>
      </c>
      <c r="J56">
        <f t="shared" si="0"/>
        <v>12</v>
      </c>
      <c r="L56">
        <v>3</v>
      </c>
      <c r="P56">
        <v>18.41</v>
      </c>
      <c r="T56">
        <v>13.21</v>
      </c>
    </row>
    <row r="57" spans="1:20" x14ac:dyDescent="0.25">
      <c r="A57" t="s">
        <v>117</v>
      </c>
      <c r="B57" t="s">
        <v>114</v>
      </c>
      <c r="C57" t="s">
        <v>69</v>
      </c>
      <c r="D57" t="s">
        <v>42</v>
      </c>
      <c r="E57">
        <v>12</v>
      </c>
      <c r="F57" t="s">
        <v>43</v>
      </c>
      <c r="G57">
        <v>3.89</v>
      </c>
      <c r="H57" t="str" cm="1">
        <f t="array" ref="H57">_xlfn.XLOOKUP(TRIM(C57),_xlfn.ANCHORARRAY($L$5),$M$5:$M$18)</f>
        <v>Boul. Express</v>
      </c>
      <c r="I57" t="str">
        <v>Pain pita</v>
      </c>
      <c r="J57">
        <f t="shared" si="0"/>
        <v>12</v>
      </c>
      <c r="L57">
        <v>3</v>
      </c>
      <c r="P57">
        <v>17.82</v>
      </c>
      <c r="T57">
        <v>13.78</v>
      </c>
    </row>
    <row r="58" spans="1:20" x14ac:dyDescent="0.25">
      <c r="A58" t="s">
        <v>118</v>
      </c>
      <c r="B58" t="s">
        <v>119</v>
      </c>
      <c r="C58" t="s">
        <v>46</v>
      </c>
      <c r="D58" t="s">
        <v>20</v>
      </c>
      <c r="E58">
        <v>4</v>
      </c>
      <c r="F58" t="s">
        <v>21</v>
      </c>
      <c r="G58">
        <v>4.1100000000000003</v>
      </c>
      <c r="H58" t="str" cm="1">
        <f t="array" ref="H58">_xlfn.XLOOKUP(TRIM(C58),_xlfn.ANCHORARRAY($L$5),$M$5:$M$18)</f>
        <v>LEGUMEX</v>
      </c>
      <c r="I58" t="str">
        <v>Tomates pelées</v>
      </c>
      <c r="J58">
        <f t="shared" si="0"/>
        <v>4</v>
      </c>
      <c r="L58">
        <v>4</v>
      </c>
      <c r="P58">
        <v>18.18</v>
      </c>
      <c r="T58">
        <v>13.65</v>
      </c>
    </row>
    <row r="59" spans="1:20" x14ac:dyDescent="0.25">
      <c r="A59" t="s">
        <v>120</v>
      </c>
      <c r="B59" t="s">
        <v>119</v>
      </c>
      <c r="C59" t="s">
        <v>27</v>
      </c>
      <c r="D59" t="s">
        <v>24</v>
      </c>
      <c r="E59">
        <v>4</v>
      </c>
      <c r="F59" t="s">
        <v>25</v>
      </c>
      <c r="G59">
        <v>23.04</v>
      </c>
      <c r="H59" t="str" cm="1">
        <f t="array" ref="H59">_xlfn.XLOOKUP(TRIM(C59),_xlfn.ANCHORARRAY($L$5),$M$5:$M$18)</f>
        <v>LEGUMEX</v>
      </c>
      <c r="I59" t="str">
        <v>Huile olive</v>
      </c>
      <c r="J59">
        <f t="shared" si="0"/>
        <v>4</v>
      </c>
      <c r="L59">
        <v>3</v>
      </c>
      <c r="P59">
        <v>18.72</v>
      </c>
      <c r="T59">
        <v>12.95</v>
      </c>
    </row>
    <row r="60" spans="1:20" x14ac:dyDescent="0.25">
      <c r="A60" t="s">
        <v>121</v>
      </c>
      <c r="B60" t="s">
        <v>119</v>
      </c>
      <c r="C60" t="s">
        <v>23</v>
      </c>
      <c r="D60" t="s">
        <v>28</v>
      </c>
      <c r="E60">
        <v>6</v>
      </c>
      <c r="F60" t="s">
        <v>29</v>
      </c>
      <c r="G60">
        <v>9.9499999999999993</v>
      </c>
      <c r="H60" t="str" cm="1">
        <f t="array" ref="H60">_xlfn.XLOOKUP(TRIM(C60),_xlfn.ANCHORARRAY($L$5),$M$5:$M$18)</f>
        <v>LEGUMEX</v>
      </c>
      <c r="I60" t="str">
        <v>Sauce tomate</v>
      </c>
      <c r="J60">
        <f t="shared" si="0"/>
        <v>6</v>
      </c>
      <c r="L60">
        <v>3</v>
      </c>
      <c r="P60">
        <v>18.670000000000002</v>
      </c>
      <c r="T60">
        <v>13.29</v>
      </c>
    </row>
    <row r="61" spans="1:20" x14ac:dyDescent="0.25">
      <c r="A61" t="s">
        <v>122</v>
      </c>
      <c r="B61" t="s">
        <v>119</v>
      </c>
      <c r="C61" t="s">
        <v>90</v>
      </c>
      <c r="D61" t="s">
        <v>51</v>
      </c>
      <c r="E61">
        <v>2</v>
      </c>
      <c r="F61" t="s">
        <v>52</v>
      </c>
      <c r="G61">
        <v>19.18</v>
      </c>
      <c r="H61" t="str" cm="1">
        <f t="array" ref="H61">_xlfn.XLOOKUP(TRIM(C61),_xlfn.ANCHORARRAY($L$5),$M$5:$M$18)</f>
        <v>Moulin du Nord</v>
      </c>
      <c r="I61" t="str">
        <v>Farine</v>
      </c>
      <c r="J61">
        <f t="shared" si="0"/>
        <v>2</v>
      </c>
      <c r="L61">
        <v>2</v>
      </c>
      <c r="P61">
        <v>17.88</v>
      </c>
      <c r="T61">
        <v>13.37</v>
      </c>
    </row>
    <row r="62" spans="1:20" x14ac:dyDescent="0.25">
      <c r="A62" t="s">
        <v>123</v>
      </c>
      <c r="B62" t="s">
        <v>119</v>
      </c>
      <c r="C62" t="s">
        <v>92</v>
      </c>
      <c r="D62" t="s">
        <v>55</v>
      </c>
      <c r="E62">
        <v>6</v>
      </c>
      <c r="F62" t="s">
        <v>17</v>
      </c>
      <c r="G62">
        <v>8.94</v>
      </c>
      <c r="H62" t="str" cm="1">
        <f t="array" ref="H62">_xlfn.XLOOKUP(TRIM(C62),_xlfn.ANCHORARRAY($L$5),$M$5:$M$18)</f>
        <v>Fromag. Centrale</v>
      </c>
      <c r="I62" t="str">
        <v>Mozzarella</v>
      </c>
      <c r="J62">
        <f t="shared" si="0"/>
        <v>6</v>
      </c>
      <c r="L62">
        <v>2</v>
      </c>
      <c r="P62">
        <v>18.600000000000001</v>
      </c>
      <c r="T62">
        <v>13.3</v>
      </c>
    </row>
    <row r="63" spans="1:20" x14ac:dyDescent="0.25">
      <c r="A63" t="s">
        <v>124</v>
      </c>
      <c r="B63" t="s">
        <v>125</v>
      </c>
      <c r="C63" t="s">
        <v>9</v>
      </c>
      <c r="D63" t="s">
        <v>10</v>
      </c>
      <c r="E63">
        <v>3</v>
      </c>
      <c r="F63" t="s">
        <v>11</v>
      </c>
      <c r="G63">
        <v>14.51</v>
      </c>
      <c r="H63" t="str" cm="1">
        <f t="array" ref="H63">_xlfn.XLOOKUP(TRIM(C63),_xlfn.ANCHORARRAY($L$5),$M$5:$M$18)</f>
        <v>Metro</v>
      </c>
      <c r="I63" t="str">
        <v>Coca Cola</v>
      </c>
      <c r="J63">
        <f t="shared" si="0"/>
        <v>3</v>
      </c>
      <c r="L63">
        <v>3</v>
      </c>
      <c r="P63">
        <v>18.940000000000001</v>
      </c>
      <c r="T63">
        <v>13.58</v>
      </c>
    </row>
    <row r="64" spans="1:20" x14ac:dyDescent="0.25">
      <c r="A64" t="s">
        <v>126</v>
      </c>
      <c r="B64" t="s">
        <v>125</v>
      </c>
      <c r="C64" t="s">
        <v>61</v>
      </c>
      <c r="D64" t="s">
        <v>14</v>
      </c>
      <c r="E64">
        <v>5</v>
      </c>
      <c r="F64" t="s">
        <v>11</v>
      </c>
      <c r="G64">
        <v>13.91</v>
      </c>
      <c r="H64" t="str" cm="1">
        <f t="array" ref="H64">_xlfn.XLOOKUP(TRIM(C64),_xlfn.ANCHORARRAY($L$5),$M$5:$M$18)</f>
        <v>Metro</v>
      </c>
      <c r="I64" t="str">
        <v>7up</v>
      </c>
      <c r="J64">
        <f t="shared" si="0"/>
        <v>5</v>
      </c>
      <c r="L64">
        <v>3</v>
      </c>
      <c r="P64">
        <v>18.239999999999998</v>
      </c>
      <c r="T64">
        <v>13.68</v>
      </c>
    </row>
    <row r="65" spans="1:20" x14ac:dyDescent="0.25">
      <c r="A65" t="s">
        <v>127</v>
      </c>
      <c r="B65" t="s">
        <v>125</v>
      </c>
      <c r="C65" t="s">
        <v>97</v>
      </c>
      <c r="D65" t="s">
        <v>16</v>
      </c>
      <c r="E65">
        <v>4</v>
      </c>
      <c r="F65" t="s">
        <v>17</v>
      </c>
      <c r="G65">
        <v>1.19</v>
      </c>
      <c r="H65" t="str" cm="1">
        <f t="array" ref="H65">_xlfn.XLOOKUP(TRIM(C65),_xlfn.ANCHORARRAY($L$5),$M$5:$M$18)</f>
        <v>Metro</v>
      </c>
      <c r="I65" t="str">
        <v>Sel</v>
      </c>
      <c r="J65">
        <f t="shared" si="0"/>
        <v>4</v>
      </c>
      <c r="L65">
        <v>2</v>
      </c>
      <c r="P65">
        <v>19.04</v>
      </c>
      <c r="T65">
        <v>13.84</v>
      </c>
    </row>
    <row r="66" spans="1:20" x14ac:dyDescent="0.25">
      <c r="A66" t="s">
        <v>128</v>
      </c>
      <c r="B66" t="s">
        <v>129</v>
      </c>
      <c r="C66" t="s">
        <v>32</v>
      </c>
      <c r="D66" t="s">
        <v>33</v>
      </c>
      <c r="F66" t="s">
        <v>17</v>
      </c>
      <c r="G66">
        <v>9.4</v>
      </c>
      <c r="H66" t="str" cm="1">
        <f t="array" ref="H66">_xlfn.XLOOKUP(TRIM(C66),_xlfn.ANCHORARRAY($L$5),$M$5:$M$18)</f>
        <v>B. Halal Pro</v>
      </c>
      <c r="I66" t="str">
        <v>Viande hachée</v>
      </c>
      <c r="J66">
        <f t="shared" ref="J66:J129" si="6">IF(E66&lt;&gt;0,E66,_xlfn.XLOOKUP(I66,$Q$5:$Q$16,$Y$5:$Y$16))</f>
        <v>6</v>
      </c>
      <c r="L66">
        <v>4</v>
      </c>
      <c r="P66">
        <v>17.98</v>
      </c>
      <c r="T66">
        <v>13.89</v>
      </c>
    </row>
    <row r="67" spans="1:20" x14ac:dyDescent="0.25">
      <c r="A67" t="s">
        <v>130</v>
      </c>
      <c r="B67" t="s">
        <v>129</v>
      </c>
      <c r="C67" t="s">
        <v>64</v>
      </c>
      <c r="D67" t="s">
        <v>35</v>
      </c>
      <c r="E67">
        <v>6</v>
      </c>
      <c r="F67" t="s">
        <v>17</v>
      </c>
      <c r="G67">
        <v>6.71</v>
      </c>
      <c r="H67" t="str" cm="1">
        <f t="array" ref="H67">_xlfn.XLOOKUP(TRIM(C67),_xlfn.ANCHORARRAY($L$5),$M$5:$M$18)</f>
        <v>B. Halal Pro</v>
      </c>
      <c r="I67" t="str">
        <v>Poulet émincé</v>
      </c>
      <c r="J67">
        <f t="shared" si="6"/>
        <v>6</v>
      </c>
      <c r="L67">
        <v>2</v>
      </c>
      <c r="P67">
        <v>18.68</v>
      </c>
      <c r="T67">
        <v>13.12</v>
      </c>
    </row>
    <row r="68" spans="1:20" x14ac:dyDescent="0.25">
      <c r="A68" t="s">
        <v>131</v>
      </c>
      <c r="B68" t="s">
        <v>129</v>
      </c>
      <c r="C68" t="s">
        <v>83</v>
      </c>
      <c r="D68" t="s">
        <v>38</v>
      </c>
      <c r="E68">
        <v>5</v>
      </c>
      <c r="F68" t="s">
        <v>39</v>
      </c>
      <c r="G68">
        <v>6.01</v>
      </c>
      <c r="H68" t="str" cm="1">
        <f t="array" ref="H68">_xlfn.XLOOKUP(TRIM(C68),_xlfn.ANCHORARRAY($L$5),$M$5:$M$18)</f>
        <v>Boul. Express</v>
      </c>
      <c r="I68" t="str">
        <v>Pain burger</v>
      </c>
      <c r="J68">
        <f t="shared" si="6"/>
        <v>5</v>
      </c>
      <c r="L68">
        <v>4</v>
      </c>
      <c r="P68">
        <v>18.7</v>
      </c>
      <c r="T68">
        <v>13.13</v>
      </c>
    </row>
    <row r="69" spans="1:20" x14ac:dyDescent="0.25">
      <c r="A69" t="s">
        <v>132</v>
      </c>
      <c r="B69" t="s">
        <v>129</v>
      </c>
      <c r="C69" t="s">
        <v>37</v>
      </c>
      <c r="D69" t="s">
        <v>42</v>
      </c>
      <c r="E69">
        <v>12</v>
      </c>
      <c r="F69" t="s">
        <v>43</v>
      </c>
      <c r="G69">
        <v>3.89</v>
      </c>
      <c r="H69" t="str" cm="1">
        <f t="array" ref="H69">_xlfn.XLOOKUP(TRIM(C69),_xlfn.ANCHORARRAY($L$5),$M$5:$M$18)</f>
        <v>Boul. Express</v>
      </c>
      <c r="I69" t="str">
        <v>Pain pita</v>
      </c>
      <c r="J69">
        <f t="shared" si="6"/>
        <v>12</v>
      </c>
      <c r="L69">
        <v>4</v>
      </c>
      <c r="P69">
        <v>18.23</v>
      </c>
      <c r="T69">
        <v>12.96</v>
      </c>
    </row>
    <row r="70" spans="1:20" x14ac:dyDescent="0.25">
      <c r="A70" t="s">
        <v>133</v>
      </c>
      <c r="B70" t="s">
        <v>134</v>
      </c>
      <c r="C70" t="s">
        <v>54</v>
      </c>
      <c r="D70" t="s">
        <v>55</v>
      </c>
      <c r="E70">
        <v>4</v>
      </c>
      <c r="F70" t="s">
        <v>17</v>
      </c>
      <c r="G70">
        <v>9.24</v>
      </c>
      <c r="H70" t="str" cm="1">
        <f t="array" ref="H70">_xlfn.XLOOKUP(TRIM(C70),_xlfn.ANCHORARRAY($L$5),$M$5:$M$18)</f>
        <v>Fromag. Centrale</v>
      </c>
      <c r="I70" t="str">
        <v>Mozzarella</v>
      </c>
      <c r="J70">
        <f t="shared" si="6"/>
        <v>4</v>
      </c>
      <c r="L70">
        <v>2</v>
      </c>
      <c r="P70">
        <v>19.04</v>
      </c>
      <c r="T70">
        <v>13.51</v>
      </c>
    </row>
    <row r="71" spans="1:20" x14ac:dyDescent="0.25">
      <c r="A71" t="s">
        <v>135</v>
      </c>
      <c r="B71" t="s">
        <v>136</v>
      </c>
      <c r="C71" t="s">
        <v>61</v>
      </c>
      <c r="D71" t="s">
        <v>10</v>
      </c>
      <c r="E71">
        <v>5</v>
      </c>
      <c r="F71" t="s">
        <v>11</v>
      </c>
      <c r="G71">
        <v>15.18</v>
      </c>
      <c r="H71" t="str" cm="1">
        <f t="array" ref="H71">_xlfn.XLOOKUP(TRIM(C71),_xlfn.ANCHORARRAY($L$5),$M$5:$M$18)</f>
        <v>Metro</v>
      </c>
      <c r="I71" t="str">
        <v>Coca Cola</v>
      </c>
      <c r="J71">
        <f t="shared" si="6"/>
        <v>5</v>
      </c>
      <c r="L71">
        <v>2</v>
      </c>
      <c r="P71">
        <v>18.95</v>
      </c>
      <c r="T71">
        <v>13.74</v>
      </c>
    </row>
    <row r="72" spans="1:20" x14ac:dyDescent="0.25">
      <c r="A72" t="s">
        <v>137</v>
      </c>
      <c r="B72" t="s">
        <v>136</v>
      </c>
      <c r="C72" t="s">
        <v>13</v>
      </c>
      <c r="D72" t="s">
        <v>14</v>
      </c>
      <c r="E72">
        <v>5</v>
      </c>
      <c r="F72" t="s">
        <v>11</v>
      </c>
      <c r="G72">
        <v>12.94</v>
      </c>
      <c r="H72" t="str" cm="1">
        <f t="array" ref="H72">_xlfn.XLOOKUP(TRIM(C72),_xlfn.ANCHORARRAY($L$5),$M$5:$M$18)</f>
        <v>Metro</v>
      </c>
      <c r="I72" t="str">
        <v>7up</v>
      </c>
      <c r="J72">
        <f t="shared" si="6"/>
        <v>5</v>
      </c>
      <c r="L72">
        <v>4</v>
      </c>
      <c r="P72">
        <v>18.940000000000001</v>
      </c>
      <c r="T72">
        <v>13.17</v>
      </c>
    </row>
    <row r="73" spans="1:20" x14ac:dyDescent="0.25">
      <c r="A73" t="s">
        <v>138</v>
      </c>
      <c r="B73" t="s">
        <v>136</v>
      </c>
      <c r="C73" t="s">
        <v>61</v>
      </c>
      <c r="D73" t="s">
        <v>16</v>
      </c>
      <c r="E73">
        <v>4</v>
      </c>
      <c r="F73" t="s">
        <v>17</v>
      </c>
      <c r="G73">
        <v>1.19</v>
      </c>
      <c r="H73" t="str" cm="1">
        <f t="array" ref="H73">_xlfn.XLOOKUP(TRIM(C73),_xlfn.ANCHORARRAY($L$5),$M$5:$M$18)</f>
        <v>Metro</v>
      </c>
      <c r="I73" t="str">
        <v>Sel</v>
      </c>
      <c r="J73">
        <f t="shared" si="6"/>
        <v>4</v>
      </c>
      <c r="L73">
        <v>0</v>
      </c>
      <c r="P73">
        <v>19.079999999999998</v>
      </c>
      <c r="T73">
        <v>12.94</v>
      </c>
    </row>
    <row r="74" spans="1:20" x14ac:dyDescent="0.25">
      <c r="A74" t="s">
        <v>139</v>
      </c>
      <c r="B74" t="s">
        <v>136</v>
      </c>
      <c r="C74" t="s">
        <v>46</v>
      </c>
      <c r="D74" t="s">
        <v>20</v>
      </c>
      <c r="E74">
        <v>8</v>
      </c>
      <c r="F74" t="s">
        <v>21</v>
      </c>
      <c r="G74">
        <v>4.0999999999999996</v>
      </c>
      <c r="H74" t="str" cm="1">
        <f t="array" ref="H74">_xlfn.XLOOKUP(TRIM(C74),_xlfn.ANCHORARRAY($L$5),$M$5:$M$18)</f>
        <v>LEGUMEX</v>
      </c>
      <c r="I74" t="str">
        <v>Tomates pelées</v>
      </c>
      <c r="J74">
        <f t="shared" si="6"/>
        <v>8</v>
      </c>
      <c r="L74">
        <v>4</v>
      </c>
      <c r="P74">
        <v>18.670000000000002</v>
      </c>
      <c r="T74">
        <v>13.48</v>
      </c>
    </row>
    <row r="75" spans="1:20" x14ac:dyDescent="0.25">
      <c r="A75" t="s">
        <v>140</v>
      </c>
      <c r="B75" t="s">
        <v>136</v>
      </c>
      <c r="C75" t="s">
        <v>46</v>
      </c>
      <c r="D75" t="s">
        <v>24</v>
      </c>
      <c r="E75">
        <v>4</v>
      </c>
      <c r="F75" t="s">
        <v>25</v>
      </c>
      <c r="G75">
        <v>23.49</v>
      </c>
      <c r="H75" t="str" cm="1">
        <f t="array" ref="H75">_xlfn.XLOOKUP(TRIM(C75),_xlfn.ANCHORARRAY($L$5),$M$5:$M$18)</f>
        <v>LEGUMEX</v>
      </c>
      <c r="I75" t="str">
        <v>Huile olive</v>
      </c>
      <c r="J75">
        <f t="shared" si="6"/>
        <v>4</v>
      </c>
      <c r="L75">
        <v>4</v>
      </c>
      <c r="T75">
        <v>13.1</v>
      </c>
    </row>
    <row r="76" spans="1:20" x14ac:dyDescent="0.25">
      <c r="A76" t="s">
        <v>141</v>
      </c>
      <c r="B76" t="s">
        <v>136</v>
      </c>
      <c r="C76" t="s">
        <v>23</v>
      </c>
      <c r="D76" t="s">
        <v>28</v>
      </c>
      <c r="F76" t="s">
        <v>29</v>
      </c>
      <c r="G76">
        <v>10.37</v>
      </c>
      <c r="H76" t="str" cm="1">
        <f t="array" ref="H76">_xlfn.XLOOKUP(TRIM(C76),_xlfn.ANCHORARRAY($L$5),$M$5:$M$18)</f>
        <v>LEGUMEX</v>
      </c>
      <c r="I76" t="str">
        <v>Sauce tomate</v>
      </c>
      <c r="J76">
        <f t="shared" si="6"/>
        <v>8</v>
      </c>
      <c r="L76">
        <v>3</v>
      </c>
      <c r="T76">
        <v>13.12</v>
      </c>
    </row>
    <row r="77" spans="1:20" x14ac:dyDescent="0.25">
      <c r="A77" t="s">
        <v>142</v>
      </c>
      <c r="B77" t="s">
        <v>143</v>
      </c>
      <c r="C77" t="s">
        <v>100</v>
      </c>
      <c r="D77" t="s">
        <v>33</v>
      </c>
      <c r="E77">
        <v>8</v>
      </c>
      <c r="F77" t="s">
        <v>17</v>
      </c>
      <c r="G77">
        <v>9.81</v>
      </c>
      <c r="H77" t="str" cm="1">
        <f t="array" ref="H77">_xlfn.XLOOKUP(TRIM(C77),_xlfn.ANCHORARRAY($L$5),$M$5:$M$18)</f>
        <v>B. Halal Pro</v>
      </c>
      <c r="I77" t="str">
        <v>Viande hachée</v>
      </c>
      <c r="J77">
        <f t="shared" si="6"/>
        <v>8</v>
      </c>
      <c r="T77">
        <v>12.89</v>
      </c>
    </row>
    <row r="78" spans="1:20" x14ac:dyDescent="0.25">
      <c r="A78" t="s">
        <v>144</v>
      </c>
      <c r="B78" t="s">
        <v>143</v>
      </c>
      <c r="C78" t="s">
        <v>66</v>
      </c>
      <c r="D78" t="s">
        <v>35</v>
      </c>
      <c r="E78">
        <v>10</v>
      </c>
      <c r="F78" t="s">
        <v>17</v>
      </c>
      <c r="G78">
        <v>7.26</v>
      </c>
      <c r="H78" t="str" cm="1">
        <f t="array" ref="H78">_xlfn.XLOOKUP(TRIM(C78),_xlfn.ANCHORARRAY($L$5),$M$5:$M$18)</f>
        <v>B. Halal Pro</v>
      </c>
      <c r="I78" t="str">
        <v>Poulet émincé</v>
      </c>
      <c r="J78">
        <f t="shared" si="6"/>
        <v>10</v>
      </c>
      <c r="T78">
        <v>13.16</v>
      </c>
    </row>
    <row r="79" spans="1:20" x14ac:dyDescent="0.25">
      <c r="A79" t="s">
        <v>145</v>
      </c>
      <c r="B79" t="s">
        <v>143</v>
      </c>
      <c r="C79" t="s">
        <v>41</v>
      </c>
      <c r="D79" t="s">
        <v>38</v>
      </c>
      <c r="E79">
        <v>8</v>
      </c>
      <c r="F79" t="s">
        <v>39</v>
      </c>
      <c r="G79">
        <v>5.71</v>
      </c>
      <c r="H79" t="str" cm="1">
        <f t="array" ref="H79">_xlfn.XLOOKUP(TRIM(C79),_xlfn.ANCHORARRAY($L$5),$M$5:$M$18)</f>
        <v>Boul. Express</v>
      </c>
      <c r="I79" t="str">
        <v>Pain burger</v>
      </c>
      <c r="J79">
        <f t="shared" si="6"/>
        <v>8</v>
      </c>
      <c r="T79">
        <v>13</v>
      </c>
    </row>
    <row r="80" spans="1:20" x14ac:dyDescent="0.25">
      <c r="A80" t="s">
        <v>146</v>
      </c>
      <c r="B80" t="s">
        <v>143</v>
      </c>
      <c r="C80" t="s">
        <v>37</v>
      </c>
      <c r="D80" t="s">
        <v>42</v>
      </c>
      <c r="E80">
        <v>8</v>
      </c>
      <c r="F80" t="s">
        <v>43</v>
      </c>
      <c r="G80">
        <v>3.96</v>
      </c>
      <c r="H80" t="str" cm="1">
        <f t="array" ref="H80">_xlfn.XLOOKUP(TRIM(C80),_xlfn.ANCHORARRAY($L$5),$M$5:$M$18)</f>
        <v>Boul. Express</v>
      </c>
      <c r="I80" t="str">
        <v>Pain pita</v>
      </c>
      <c r="J80">
        <f t="shared" si="6"/>
        <v>8</v>
      </c>
      <c r="T80">
        <v>13.07</v>
      </c>
    </row>
    <row r="81" spans="1:20" x14ac:dyDescent="0.25">
      <c r="A81" t="s">
        <v>147</v>
      </c>
      <c r="B81" t="s">
        <v>148</v>
      </c>
      <c r="C81" t="s">
        <v>27</v>
      </c>
      <c r="D81" t="s">
        <v>20</v>
      </c>
      <c r="E81">
        <v>4</v>
      </c>
      <c r="F81" t="s">
        <v>21</v>
      </c>
      <c r="G81">
        <v>4.16</v>
      </c>
      <c r="H81" t="str" cm="1">
        <f t="array" ref="H81">_xlfn.XLOOKUP(TRIM(C81),_xlfn.ANCHORARRAY($L$5),$M$5:$M$18)</f>
        <v>LEGUMEX</v>
      </c>
      <c r="I81" t="str">
        <v>Tomates pelées</v>
      </c>
      <c r="J81">
        <f t="shared" si="6"/>
        <v>4</v>
      </c>
      <c r="T81">
        <v>13.4</v>
      </c>
    </row>
    <row r="82" spans="1:20" x14ac:dyDescent="0.25">
      <c r="A82" t="s">
        <v>149</v>
      </c>
      <c r="B82" t="s">
        <v>148</v>
      </c>
      <c r="C82" t="s">
        <v>19</v>
      </c>
      <c r="D82" t="s">
        <v>24</v>
      </c>
      <c r="E82">
        <v>4</v>
      </c>
      <c r="F82" t="s">
        <v>25</v>
      </c>
      <c r="G82">
        <v>22.85</v>
      </c>
      <c r="H82" t="str" cm="1">
        <f t="array" ref="H82">_xlfn.XLOOKUP(TRIM(C82),_xlfn.ANCHORARRAY($L$5),$M$5:$M$18)</f>
        <v>LEGUMEX</v>
      </c>
      <c r="I82" t="str">
        <v>Huile olive</v>
      </c>
      <c r="J82">
        <f t="shared" si="6"/>
        <v>4</v>
      </c>
      <c r="T82">
        <v>12.99</v>
      </c>
    </row>
    <row r="83" spans="1:20" x14ac:dyDescent="0.25">
      <c r="A83" t="s">
        <v>150</v>
      </c>
      <c r="B83" t="s">
        <v>148</v>
      </c>
      <c r="C83" t="s">
        <v>23</v>
      </c>
      <c r="D83" t="s">
        <v>28</v>
      </c>
      <c r="E83">
        <v>6</v>
      </c>
      <c r="F83" t="s">
        <v>29</v>
      </c>
      <c r="G83">
        <v>10.55</v>
      </c>
      <c r="H83" t="str" cm="1">
        <f t="array" ref="H83">_xlfn.XLOOKUP(TRIM(C83),_xlfn.ANCHORARRAY($L$5),$M$5:$M$18)</f>
        <v>LEGUMEX</v>
      </c>
      <c r="I83" t="str">
        <v>Sauce tomate</v>
      </c>
      <c r="J83">
        <f t="shared" si="6"/>
        <v>6</v>
      </c>
      <c r="T83">
        <v>13.57</v>
      </c>
    </row>
    <row r="84" spans="1:20" x14ac:dyDescent="0.25">
      <c r="A84" t="s">
        <v>151</v>
      </c>
      <c r="B84" t="s">
        <v>148</v>
      </c>
      <c r="C84" t="s">
        <v>152</v>
      </c>
      <c r="D84" t="s">
        <v>51</v>
      </c>
      <c r="E84">
        <v>2</v>
      </c>
      <c r="F84" t="s">
        <v>52</v>
      </c>
      <c r="G84">
        <v>19.2</v>
      </c>
      <c r="H84" t="str" cm="1">
        <f t="array" ref="H84">_xlfn.XLOOKUP(TRIM(C84),_xlfn.ANCHORARRAY($L$5),$M$5:$M$18)</f>
        <v>Moulin du Nord</v>
      </c>
      <c r="I84" t="str">
        <v>Farine</v>
      </c>
      <c r="J84">
        <f t="shared" si="6"/>
        <v>2</v>
      </c>
      <c r="T84">
        <v>13.44</v>
      </c>
    </row>
    <row r="85" spans="1:20" x14ac:dyDescent="0.25">
      <c r="A85" t="s">
        <v>153</v>
      </c>
      <c r="B85" t="s">
        <v>148</v>
      </c>
      <c r="C85" t="s">
        <v>154</v>
      </c>
      <c r="D85" t="s">
        <v>55</v>
      </c>
      <c r="E85">
        <v>8</v>
      </c>
      <c r="F85" t="s">
        <v>17</v>
      </c>
      <c r="G85">
        <v>8.6199999999999992</v>
      </c>
      <c r="H85" t="str" cm="1">
        <f t="array" ref="H85">_xlfn.XLOOKUP(TRIM(C85),_xlfn.ANCHORARRAY($L$5),$M$5:$M$18)</f>
        <v>Fromag. Centrale</v>
      </c>
      <c r="I85" t="str">
        <v>Mozzarella</v>
      </c>
      <c r="J85">
        <f t="shared" si="6"/>
        <v>8</v>
      </c>
      <c r="T85">
        <v>13.07</v>
      </c>
    </row>
    <row r="86" spans="1:20" x14ac:dyDescent="0.25">
      <c r="A86" t="s">
        <v>155</v>
      </c>
      <c r="B86" t="s">
        <v>156</v>
      </c>
      <c r="C86" t="s">
        <v>59</v>
      </c>
      <c r="D86" t="s">
        <v>10</v>
      </c>
      <c r="E86">
        <v>4</v>
      </c>
      <c r="F86" t="s">
        <v>11</v>
      </c>
      <c r="G86">
        <v>14.31</v>
      </c>
      <c r="H86" t="str" cm="1">
        <f t="array" ref="H86">_xlfn.XLOOKUP(TRIM(C86),_xlfn.ANCHORARRAY($L$5),$M$5:$M$18)</f>
        <v>Metro</v>
      </c>
      <c r="I86" t="str">
        <v>Coca Cola</v>
      </c>
      <c r="J86">
        <f t="shared" si="6"/>
        <v>4</v>
      </c>
      <c r="T86">
        <v>13.22</v>
      </c>
    </row>
    <row r="87" spans="1:20" x14ac:dyDescent="0.25">
      <c r="A87" t="s">
        <v>157</v>
      </c>
      <c r="B87" t="s">
        <v>156</v>
      </c>
      <c r="C87" t="s">
        <v>9</v>
      </c>
      <c r="D87" t="s">
        <v>14</v>
      </c>
      <c r="E87">
        <v>6</v>
      </c>
      <c r="F87" t="s">
        <v>11</v>
      </c>
      <c r="G87">
        <v>13.84</v>
      </c>
      <c r="H87" t="str" cm="1">
        <f t="array" ref="H87">_xlfn.XLOOKUP(TRIM(C87),_xlfn.ANCHORARRAY($L$5),$M$5:$M$18)</f>
        <v>Metro</v>
      </c>
      <c r="I87" t="str">
        <v>7up</v>
      </c>
      <c r="J87">
        <f t="shared" si="6"/>
        <v>6</v>
      </c>
      <c r="T87">
        <v>13.96</v>
      </c>
    </row>
    <row r="88" spans="1:20" x14ac:dyDescent="0.25">
      <c r="A88" t="s">
        <v>158</v>
      </c>
      <c r="B88" t="s">
        <v>156</v>
      </c>
      <c r="C88" t="s">
        <v>13</v>
      </c>
      <c r="D88" t="s">
        <v>16</v>
      </c>
      <c r="E88">
        <v>4</v>
      </c>
      <c r="F88" t="s">
        <v>17</v>
      </c>
      <c r="G88">
        <v>1.25</v>
      </c>
      <c r="H88" t="str" cm="1">
        <f t="array" ref="H88">_xlfn.XLOOKUP(TRIM(C88),_xlfn.ANCHORARRAY($L$5),$M$5:$M$18)</f>
        <v>Metro</v>
      </c>
      <c r="I88" t="str">
        <v>Sel</v>
      </c>
      <c r="J88">
        <f t="shared" si="6"/>
        <v>4</v>
      </c>
      <c r="T88">
        <v>13.95</v>
      </c>
    </row>
    <row r="89" spans="1:20" x14ac:dyDescent="0.25">
      <c r="A89" t="s">
        <v>159</v>
      </c>
      <c r="B89" t="s">
        <v>160</v>
      </c>
      <c r="C89" t="s">
        <v>32</v>
      </c>
      <c r="D89" t="s">
        <v>33</v>
      </c>
      <c r="E89">
        <v>6</v>
      </c>
      <c r="F89" t="s">
        <v>17</v>
      </c>
      <c r="G89">
        <v>10.23</v>
      </c>
      <c r="H89" t="str" cm="1">
        <f t="array" ref="H89">_xlfn.XLOOKUP(TRIM(C89),_xlfn.ANCHORARRAY($L$5),$M$5:$M$18)</f>
        <v>B. Halal Pro</v>
      </c>
      <c r="I89" t="str">
        <v>Viande hachée</v>
      </c>
      <c r="J89">
        <f t="shared" si="6"/>
        <v>6</v>
      </c>
      <c r="T89">
        <v>13.78</v>
      </c>
    </row>
    <row r="90" spans="1:20" x14ac:dyDescent="0.25">
      <c r="A90" t="s">
        <v>161</v>
      </c>
      <c r="B90" t="s">
        <v>160</v>
      </c>
      <c r="C90" t="s">
        <v>100</v>
      </c>
      <c r="D90" t="s">
        <v>35</v>
      </c>
      <c r="E90">
        <v>8</v>
      </c>
      <c r="F90" t="s">
        <v>17</v>
      </c>
      <c r="G90">
        <v>7.08</v>
      </c>
      <c r="H90" t="str" cm="1">
        <f t="array" ref="H90">_xlfn.XLOOKUP(TRIM(C90),_xlfn.ANCHORARRAY($L$5),$M$5:$M$18)</f>
        <v>B. Halal Pro</v>
      </c>
      <c r="I90" t="str">
        <v>Poulet émincé</v>
      </c>
      <c r="J90">
        <f t="shared" si="6"/>
        <v>8</v>
      </c>
      <c r="T90">
        <v>13.1</v>
      </c>
    </row>
    <row r="91" spans="1:20" x14ac:dyDescent="0.25">
      <c r="A91" t="s">
        <v>162</v>
      </c>
      <c r="B91" t="s">
        <v>160</v>
      </c>
      <c r="C91" t="s">
        <v>37</v>
      </c>
      <c r="D91" t="s">
        <v>38</v>
      </c>
      <c r="E91">
        <v>12</v>
      </c>
      <c r="F91" t="s">
        <v>39</v>
      </c>
      <c r="G91">
        <v>5.81</v>
      </c>
      <c r="H91" t="str" cm="1">
        <f t="array" ref="H91">_xlfn.XLOOKUP(TRIM(C91),_xlfn.ANCHORARRAY($L$5),$M$5:$M$18)</f>
        <v>Boul. Express</v>
      </c>
      <c r="I91" t="str">
        <v>Pain burger</v>
      </c>
      <c r="J91">
        <f t="shared" si="6"/>
        <v>12</v>
      </c>
      <c r="T91">
        <v>13.98</v>
      </c>
    </row>
    <row r="92" spans="1:20" x14ac:dyDescent="0.25">
      <c r="A92" t="s">
        <v>163</v>
      </c>
      <c r="B92" t="s">
        <v>160</v>
      </c>
      <c r="C92" t="s">
        <v>37</v>
      </c>
      <c r="D92" t="s">
        <v>42</v>
      </c>
      <c r="E92">
        <v>5</v>
      </c>
      <c r="F92" t="s">
        <v>43</v>
      </c>
      <c r="G92">
        <v>4.04</v>
      </c>
      <c r="H92" t="str" cm="1">
        <f t="array" ref="H92">_xlfn.XLOOKUP(TRIM(C92),_xlfn.ANCHORARRAY($L$5),$M$5:$M$18)</f>
        <v>Boul. Express</v>
      </c>
      <c r="I92" t="str">
        <v>Pain pita</v>
      </c>
      <c r="J92">
        <f t="shared" si="6"/>
        <v>5</v>
      </c>
      <c r="T92">
        <v>13.81</v>
      </c>
    </row>
    <row r="93" spans="1:20" x14ac:dyDescent="0.25">
      <c r="A93" t="s">
        <v>164</v>
      </c>
      <c r="B93" t="s">
        <v>165</v>
      </c>
      <c r="C93" t="s">
        <v>54</v>
      </c>
      <c r="D93" t="s">
        <v>55</v>
      </c>
      <c r="E93">
        <v>8</v>
      </c>
      <c r="F93" t="s">
        <v>17</v>
      </c>
      <c r="G93">
        <v>8.6199999999999992</v>
      </c>
      <c r="H93" t="str" cm="1">
        <f t="array" ref="H93">_xlfn.XLOOKUP(TRIM(C93),_xlfn.ANCHORARRAY($L$5),$M$5:$M$18)</f>
        <v>Fromag. Centrale</v>
      </c>
      <c r="I93" t="str">
        <v>Mozzarella</v>
      </c>
      <c r="J93">
        <f t="shared" si="6"/>
        <v>8</v>
      </c>
      <c r="T93">
        <v>13.67</v>
      </c>
    </row>
    <row r="94" spans="1:20" x14ac:dyDescent="0.25">
      <c r="A94" t="s">
        <v>166</v>
      </c>
      <c r="B94" t="s">
        <v>167</v>
      </c>
      <c r="C94" t="s">
        <v>61</v>
      </c>
      <c r="D94" t="s">
        <v>10</v>
      </c>
      <c r="E94">
        <v>6</v>
      </c>
      <c r="F94" t="s">
        <v>11</v>
      </c>
      <c r="G94">
        <v>14.42</v>
      </c>
      <c r="H94" t="str" cm="1">
        <f t="array" ref="H94">_xlfn.XLOOKUP(TRIM(C94),_xlfn.ANCHORARRAY($L$5),$M$5:$M$18)</f>
        <v>Metro</v>
      </c>
      <c r="I94" t="str">
        <v>Coca Cola</v>
      </c>
      <c r="J94">
        <f t="shared" si="6"/>
        <v>6</v>
      </c>
      <c r="T94">
        <v>13.08</v>
      </c>
    </row>
    <row r="95" spans="1:20" x14ac:dyDescent="0.25">
      <c r="A95" t="s">
        <v>168</v>
      </c>
      <c r="B95" t="s">
        <v>167</v>
      </c>
      <c r="C95" t="s">
        <v>59</v>
      </c>
      <c r="D95" t="s">
        <v>14</v>
      </c>
      <c r="E95">
        <v>3</v>
      </c>
      <c r="F95" t="s">
        <v>11</v>
      </c>
      <c r="G95">
        <v>13.26</v>
      </c>
      <c r="H95" t="str" cm="1">
        <f t="array" ref="H95">_xlfn.XLOOKUP(TRIM(C95),_xlfn.ANCHORARRAY($L$5),$M$5:$M$18)</f>
        <v>Metro</v>
      </c>
      <c r="I95" t="str">
        <v>7up</v>
      </c>
      <c r="J95">
        <f t="shared" si="6"/>
        <v>3</v>
      </c>
      <c r="T95">
        <v>13.73</v>
      </c>
    </row>
    <row r="96" spans="1:20" x14ac:dyDescent="0.25">
      <c r="A96" t="s">
        <v>169</v>
      </c>
      <c r="B96" t="s">
        <v>167</v>
      </c>
      <c r="C96" t="s">
        <v>97</v>
      </c>
      <c r="D96" t="s">
        <v>16</v>
      </c>
      <c r="F96" t="s">
        <v>17</v>
      </c>
      <c r="G96">
        <v>1.24</v>
      </c>
      <c r="H96" t="str" cm="1">
        <f t="array" ref="H96">_xlfn.XLOOKUP(TRIM(C96),_xlfn.ANCHORARRAY($L$5),$M$5:$M$18)</f>
        <v>Metro</v>
      </c>
      <c r="I96" t="str">
        <v>Sel</v>
      </c>
      <c r="J96">
        <f t="shared" si="6"/>
        <v>6</v>
      </c>
      <c r="T96">
        <v>13.28</v>
      </c>
    </row>
    <row r="97" spans="1:20" x14ac:dyDescent="0.25">
      <c r="A97" t="s">
        <v>170</v>
      </c>
      <c r="B97" t="s">
        <v>167</v>
      </c>
      <c r="C97" t="s">
        <v>19</v>
      </c>
      <c r="D97" t="s">
        <v>20</v>
      </c>
      <c r="E97">
        <v>4</v>
      </c>
      <c r="F97" t="s">
        <v>21</v>
      </c>
      <c r="G97">
        <v>4.1900000000000004</v>
      </c>
      <c r="H97" t="str" cm="1">
        <f t="array" ref="H97">_xlfn.XLOOKUP(TRIM(C97),_xlfn.ANCHORARRAY($L$5),$M$5:$M$18)</f>
        <v>LEGUMEX</v>
      </c>
      <c r="I97" t="str">
        <v>Tomates pelées</v>
      </c>
      <c r="J97">
        <f t="shared" si="6"/>
        <v>4</v>
      </c>
      <c r="T97">
        <v>13.76</v>
      </c>
    </row>
    <row r="98" spans="1:20" x14ac:dyDescent="0.25">
      <c r="A98" t="s">
        <v>171</v>
      </c>
      <c r="B98" t="s">
        <v>167</v>
      </c>
      <c r="C98" t="s">
        <v>46</v>
      </c>
      <c r="D98" t="s">
        <v>24</v>
      </c>
      <c r="E98">
        <v>4</v>
      </c>
      <c r="F98" t="s">
        <v>25</v>
      </c>
      <c r="G98">
        <v>22.68</v>
      </c>
      <c r="H98" t="str" cm="1">
        <f t="array" ref="H98">_xlfn.XLOOKUP(TRIM(C98),_xlfn.ANCHORARRAY($L$5),$M$5:$M$18)</f>
        <v>LEGUMEX</v>
      </c>
      <c r="I98" t="str">
        <v>Huile olive</v>
      </c>
      <c r="J98">
        <f t="shared" si="6"/>
        <v>4</v>
      </c>
      <c r="T98">
        <v>12.92</v>
      </c>
    </row>
    <row r="99" spans="1:20" x14ac:dyDescent="0.25">
      <c r="A99" t="s">
        <v>172</v>
      </c>
      <c r="B99" t="s">
        <v>167</v>
      </c>
      <c r="C99" t="s">
        <v>46</v>
      </c>
      <c r="D99" t="s">
        <v>28</v>
      </c>
      <c r="E99">
        <v>10</v>
      </c>
      <c r="F99" t="s">
        <v>29</v>
      </c>
      <c r="G99">
        <v>9.9600000000000009</v>
      </c>
      <c r="H99" t="str" cm="1">
        <f t="array" ref="H99">_xlfn.XLOOKUP(TRIM(C99),_xlfn.ANCHORARRAY($L$5),$M$5:$M$18)</f>
        <v>LEGUMEX</v>
      </c>
      <c r="I99" t="str">
        <v>Sauce tomate</v>
      </c>
      <c r="J99">
        <f t="shared" si="6"/>
        <v>10</v>
      </c>
      <c r="T99">
        <v>13.81</v>
      </c>
    </row>
    <row r="100" spans="1:20" x14ac:dyDescent="0.25">
      <c r="A100" t="s">
        <v>173</v>
      </c>
      <c r="B100" t="s">
        <v>174</v>
      </c>
      <c r="C100" t="s">
        <v>32</v>
      </c>
      <c r="D100" t="s">
        <v>33</v>
      </c>
      <c r="E100">
        <v>6</v>
      </c>
      <c r="F100" t="s">
        <v>17</v>
      </c>
      <c r="G100">
        <v>9.6199999999999992</v>
      </c>
      <c r="H100" t="str" cm="1">
        <f t="array" ref="H100">_xlfn.XLOOKUP(TRIM(C100),_xlfn.ANCHORARRAY($L$5),$M$5:$M$18)</f>
        <v>B. Halal Pro</v>
      </c>
      <c r="I100" t="str">
        <v>Viande hachée</v>
      </c>
      <c r="J100">
        <f t="shared" si="6"/>
        <v>6</v>
      </c>
      <c r="T100">
        <v>12.98</v>
      </c>
    </row>
    <row r="101" spans="1:20" x14ac:dyDescent="0.25">
      <c r="A101" t="s">
        <v>175</v>
      </c>
      <c r="B101" t="s">
        <v>174</v>
      </c>
      <c r="C101" t="s">
        <v>66</v>
      </c>
      <c r="D101" t="s">
        <v>35</v>
      </c>
      <c r="E101">
        <v>6</v>
      </c>
      <c r="F101" t="s">
        <v>17</v>
      </c>
      <c r="G101">
        <v>7.4</v>
      </c>
      <c r="H101" t="str" cm="1">
        <f t="array" ref="H101">_xlfn.XLOOKUP(TRIM(C101),_xlfn.ANCHORARRAY($L$5),$M$5:$M$18)</f>
        <v>B. Halal Pro</v>
      </c>
      <c r="I101" t="str">
        <v>Poulet émincé</v>
      </c>
      <c r="J101">
        <f t="shared" si="6"/>
        <v>6</v>
      </c>
      <c r="T101">
        <v>13.94</v>
      </c>
    </row>
    <row r="102" spans="1:20" x14ac:dyDescent="0.25">
      <c r="A102" t="s">
        <v>176</v>
      </c>
      <c r="B102" t="s">
        <v>174</v>
      </c>
      <c r="C102" t="s">
        <v>37</v>
      </c>
      <c r="D102" t="s">
        <v>38</v>
      </c>
      <c r="E102">
        <v>5</v>
      </c>
      <c r="F102" t="s">
        <v>39</v>
      </c>
      <c r="G102">
        <v>5.83</v>
      </c>
      <c r="H102" t="str" cm="1">
        <f t="array" ref="H102">_xlfn.XLOOKUP(TRIM(C102),_xlfn.ANCHORARRAY($L$5),$M$5:$M$18)</f>
        <v>Boul. Express</v>
      </c>
      <c r="I102" t="str">
        <v>Pain burger</v>
      </c>
      <c r="J102">
        <f t="shared" si="6"/>
        <v>5</v>
      </c>
      <c r="T102">
        <v>13.38</v>
      </c>
    </row>
    <row r="103" spans="1:20" x14ac:dyDescent="0.25">
      <c r="A103" t="s">
        <v>177</v>
      </c>
      <c r="B103" t="s">
        <v>174</v>
      </c>
      <c r="C103" t="s">
        <v>83</v>
      </c>
      <c r="D103" t="s">
        <v>42</v>
      </c>
      <c r="E103">
        <v>10</v>
      </c>
      <c r="F103" t="s">
        <v>43</v>
      </c>
      <c r="G103">
        <v>3.92</v>
      </c>
      <c r="H103" t="str" cm="1">
        <f t="array" ref="H103">_xlfn.XLOOKUP(TRIM(C103),_xlfn.ANCHORARRAY($L$5),$M$5:$M$18)</f>
        <v>Boul. Express</v>
      </c>
      <c r="I103" t="str">
        <v>Pain pita</v>
      </c>
      <c r="J103">
        <f t="shared" si="6"/>
        <v>10</v>
      </c>
      <c r="T103">
        <v>13.94</v>
      </c>
    </row>
    <row r="104" spans="1:20" x14ac:dyDescent="0.25">
      <c r="A104" t="s">
        <v>178</v>
      </c>
      <c r="B104" t="s">
        <v>179</v>
      </c>
      <c r="C104" t="s">
        <v>23</v>
      </c>
      <c r="D104" t="s">
        <v>20</v>
      </c>
      <c r="E104">
        <v>10</v>
      </c>
      <c r="F104" t="s">
        <v>21</v>
      </c>
      <c r="G104">
        <v>4.3600000000000003</v>
      </c>
      <c r="H104" t="str" cm="1">
        <f t="array" ref="H104">_xlfn.XLOOKUP(TRIM(C104),_xlfn.ANCHORARRAY($L$5),$M$5:$M$18)</f>
        <v>LEGUMEX</v>
      </c>
      <c r="I104" t="str">
        <v>Tomates pelées</v>
      </c>
      <c r="J104">
        <f t="shared" si="6"/>
        <v>10</v>
      </c>
      <c r="T104">
        <v>13.93</v>
      </c>
    </row>
    <row r="105" spans="1:20" x14ac:dyDescent="0.25">
      <c r="A105" t="s">
        <v>180</v>
      </c>
      <c r="B105" t="s">
        <v>179</v>
      </c>
      <c r="C105" t="s">
        <v>19</v>
      </c>
      <c r="D105" t="s">
        <v>24</v>
      </c>
      <c r="E105">
        <v>8</v>
      </c>
      <c r="F105" t="s">
        <v>25</v>
      </c>
      <c r="G105">
        <v>22.78</v>
      </c>
      <c r="H105" t="str" cm="1">
        <f t="array" ref="H105">_xlfn.XLOOKUP(TRIM(C105),_xlfn.ANCHORARRAY($L$5),$M$5:$M$18)</f>
        <v>LEGUMEX</v>
      </c>
      <c r="I105" t="str">
        <v>Huile olive</v>
      </c>
      <c r="J105">
        <f t="shared" si="6"/>
        <v>8</v>
      </c>
      <c r="T105">
        <v>12.96</v>
      </c>
    </row>
    <row r="106" spans="1:20" x14ac:dyDescent="0.25">
      <c r="A106" t="s">
        <v>181</v>
      </c>
      <c r="B106" t="s">
        <v>179</v>
      </c>
      <c r="C106" t="s">
        <v>46</v>
      </c>
      <c r="D106" t="s">
        <v>28</v>
      </c>
      <c r="E106">
        <v>6</v>
      </c>
      <c r="F106" t="s">
        <v>29</v>
      </c>
      <c r="G106">
        <v>9.43</v>
      </c>
      <c r="H106" t="str" cm="1">
        <f t="array" ref="H106">_xlfn.XLOOKUP(TRIM(C106),_xlfn.ANCHORARRAY($L$5),$M$5:$M$18)</f>
        <v>LEGUMEX</v>
      </c>
      <c r="I106" t="str">
        <v>Sauce tomate</v>
      </c>
      <c r="J106">
        <f t="shared" si="6"/>
        <v>6</v>
      </c>
      <c r="T106">
        <v>13.97</v>
      </c>
    </row>
    <row r="107" spans="1:20" x14ac:dyDescent="0.25">
      <c r="A107" t="s">
        <v>182</v>
      </c>
      <c r="B107" t="s">
        <v>179</v>
      </c>
      <c r="C107" t="s">
        <v>152</v>
      </c>
      <c r="D107" t="s">
        <v>51</v>
      </c>
      <c r="E107">
        <v>2</v>
      </c>
      <c r="F107" t="s">
        <v>52</v>
      </c>
      <c r="G107">
        <v>19.100000000000001</v>
      </c>
      <c r="H107" t="str" cm="1">
        <f t="array" ref="H107">_xlfn.XLOOKUP(TRIM(C107),_xlfn.ANCHORARRAY($L$5),$M$5:$M$18)</f>
        <v>Moulin du Nord</v>
      </c>
      <c r="I107" t="str">
        <v>Farine</v>
      </c>
      <c r="J107">
        <f t="shared" si="6"/>
        <v>2</v>
      </c>
      <c r="T107">
        <v>13.93</v>
      </c>
    </row>
    <row r="108" spans="1:20" x14ac:dyDescent="0.25">
      <c r="A108" t="s">
        <v>183</v>
      </c>
      <c r="B108" t="s">
        <v>179</v>
      </c>
      <c r="C108" t="s">
        <v>92</v>
      </c>
      <c r="D108" t="s">
        <v>55</v>
      </c>
      <c r="E108">
        <v>4</v>
      </c>
      <c r="F108" t="s">
        <v>17</v>
      </c>
      <c r="G108">
        <v>9.77</v>
      </c>
      <c r="H108" t="str" cm="1">
        <f t="array" ref="H108">_xlfn.XLOOKUP(TRIM(C108),_xlfn.ANCHORARRAY($L$5),$M$5:$M$18)</f>
        <v>Fromag. Centrale</v>
      </c>
      <c r="I108" t="str">
        <v>Mozzarella</v>
      </c>
      <c r="J108">
        <f t="shared" si="6"/>
        <v>4</v>
      </c>
      <c r="T108">
        <v>13.38</v>
      </c>
    </row>
    <row r="109" spans="1:20" x14ac:dyDescent="0.25">
      <c r="A109" t="s">
        <v>184</v>
      </c>
      <c r="B109" t="s">
        <v>185</v>
      </c>
      <c r="C109" t="s">
        <v>61</v>
      </c>
      <c r="D109" t="s">
        <v>10</v>
      </c>
      <c r="E109">
        <v>4</v>
      </c>
      <c r="F109" t="s">
        <v>11</v>
      </c>
      <c r="G109">
        <v>14.9</v>
      </c>
      <c r="H109" t="str" cm="1">
        <f t="array" ref="H109">_xlfn.XLOOKUP(TRIM(C109),_xlfn.ANCHORARRAY($L$5),$M$5:$M$18)</f>
        <v>Metro</v>
      </c>
      <c r="I109" t="str">
        <v>Coca Cola</v>
      </c>
      <c r="J109">
        <f t="shared" si="6"/>
        <v>4</v>
      </c>
      <c r="T109">
        <v>13.69</v>
      </c>
    </row>
    <row r="110" spans="1:20" x14ac:dyDescent="0.25">
      <c r="A110" t="s">
        <v>186</v>
      </c>
      <c r="B110" t="s">
        <v>185</v>
      </c>
      <c r="C110" t="s">
        <v>59</v>
      </c>
      <c r="D110" t="s">
        <v>14</v>
      </c>
      <c r="E110">
        <v>4</v>
      </c>
      <c r="F110" t="s">
        <v>11</v>
      </c>
      <c r="G110">
        <v>12.98</v>
      </c>
      <c r="H110" t="str" cm="1">
        <f t="array" ref="H110">_xlfn.XLOOKUP(TRIM(C110),_xlfn.ANCHORARRAY($L$5),$M$5:$M$18)</f>
        <v>Metro</v>
      </c>
      <c r="I110" t="str">
        <v>7up</v>
      </c>
      <c r="J110">
        <f t="shared" si="6"/>
        <v>4</v>
      </c>
      <c r="T110">
        <v>13.33</v>
      </c>
    </row>
    <row r="111" spans="1:20" x14ac:dyDescent="0.25">
      <c r="A111" t="s">
        <v>187</v>
      </c>
      <c r="B111" t="s">
        <v>185</v>
      </c>
      <c r="C111" t="s">
        <v>9</v>
      </c>
      <c r="D111" t="s">
        <v>16</v>
      </c>
      <c r="E111">
        <v>6</v>
      </c>
      <c r="F111" t="s">
        <v>17</v>
      </c>
      <c r="G111">
        <v>1.19</v>
      </c>
      <c r="H111" t="str" cm="1">
        <f t="array" ref="H111">_xlfn.XLOOKUP(TRIM(C111),_xlfn.ANCHORARRAY($L$5),$M$5:$M$18)</f>
        <v>Metro</v>
      </c>
      <c r="I111" t="str">
        <v>Sel</v>
      </c>
      <c r="J111">
        <f t="shared" si="6"/>
        <v>6</v>
      </c>
      <c r="T111">
        <v>13.75</v>
      </c>
    </row>
    <row r="112" spans="1:20" x14ac:dyDescent="0.25">
      <c r="A112" t="s">
        <v>188</v>
      </c>
      <c r="B112" t="s">
        <v>189</v>
      </c>
      <c r="C112" t="s">
        <v>66</v>
      </c>
      <c r="D112" t="s">
        <v>33</v>
      </c>
      <c r="E112">
        <v>6</v>
      </c>
      <c r="F112" t="s">
        <v>17</v>
      </c>
      <c r="G112">
        <v>8.4700000000000006</v>
      </c>
      <c r="H112" t="str" cm="1">
        <f t="array" ref="H112">_xlfn.XLOOKUP(TRIM(C112),_xlfn.ANCHORARRAY($L$5),$M$5:$M$18)</f>
        <v>B. Halal Pro</v>
      </c>
      <c r="I112" t="str">
        <v>Viande hachée</v>
      </c>
      <c r="J112">
        <f t="shared" si="6"/>
        <v>6</v>
      </c>
      <c r="T112">
        <v>13.53</v>
      </c>
    </row>
    <row r="113" spans="1:20" x14ac:dyDescent="0.25">
      <c r="A113" t="s">
        <v>190</v>
      </c>
      <c r="B113" t="s">
        <v>189</v>
      </c>
      <c r="C113" t="s">
        <v>64</v>
      </c>
      <c r="D113" t="s">
        <v>35</v>
      </c>
      <c r="E113">
        <v>10</v>
      </c>
      <c r="F113" t="s">
        <v>17</v>
      </c>
      <c r="G113">
        <v>7.15</v>
      </c>
      <c r="H113" t="str" cm="1">
        <f t="array" ref="H113">_xlfn.XLOOKUP(TRIM(C113),_xlfn.ANCHORARRAY($L$5),$M$5:$M$18)</f>
        <v>B. Halal Pro</v>
      </c>
      <c r="I113" t="str">
        <v>Poulet émincé</v>
      </c>
      <c r="J113">
        <f t="shared" si="6"/>
        <v>10</v>
      </c>
      <c r="T113">
        <v>13.76</v>
      </c>
    </row>
    <row r="114" spans="1:20" x14ac:dyDescent="0.25">
      <c r="A114" t="s">
        <v>191</v>
      </c>
      <c r="B114" t="s">
        <v>189</v>
      </c>
      <c r="C114" t="s">
        <v>37</v>
      </c>
      <c r="D114" t="s">
        <v>38</v>
      </c>
      <c r="E114">
        <v>12</v>
      </c>
      <c r="F114" t="s">
        <v>39</v>
      </c>
      <c r="G114">
        <v>6.01</v>
      </c>
      <c r="H114" t="str" cm="1">
        <f t="array" ref="H114">_xlfn.XLOOKUP(TRIM(C114),_xlfn.ANCHORARRAY($L$5),$M$5:$M$18)</f>
        <v>Boul. Express</v>
      </c>
      <c r="I114" t="str">
        <v>Pain burger</v>
      </c>
      <c r="J114">
        <f t="shared" si="6"/>
        <v>12</v>
      </c>
      <c r="T114">
        <v>13.97</v>
      </c>
    </row>
    <row r="115" spans="1:20" x14ac:dyDescent="0.25">
      <c r="A115" t="s">
        <v>192</v>
      </c>
      <c r="B115" t="s">
        <v>189</v>
      </c>
      <c r="C115" t="s">
        <v>69</v>
      </c>
      <c r="D115" t="s">
        <v>42</v>
      </c>
      <c r="E115">
        <v>12</v>
      </c>
      <c r="F115" t="s">
        <v>43</v>
      </c>
      <c r="G115">
        <v>4.0199999999999996</v>
      </c>
      <c r="H115" t="str" cm="1">
        <f t="array" ref="H115">_xlfn.XLOOKUP(TRIM(C115),_xlfn.ANCHORARRAY($L$5),$M$5:$M$18)</f>
        <v>Boul. Express</v>
      </c>
      <c r="I115" t="str">
        <v>Pain pita</v>
      </c>
      <c r="J115">
        <f t="shared" si="6"/>
        <v>12</v>
      </c>
      <c r="T115">
        <v>12.96</v>
      </c>
    </row>
    <row r="116" spans="1:20" x14ac:dyDescent="0.25">
      <c r="A116" t="s">
        <v>193</v>
      </c>
      <c r="B116" t="s">
        <v>194</v>
      </c>
      <c r="C116" t="s">
        <v>195</v>
      </c>
      <c r="D116" t="s">
        <v>55</v>
      </c>
      <c r="E116">
        <v>6</v>
      </c>
      <c r="F116" t="s">
        <v>17</v>
      </c>
      <c r="G116">
        <v>9.01</v>
      </c>
      <c r="H116" t="str" cm="1">
        <f t="array" ref="H116">_xlfn.XLOOKUP(TRIM(C116),_xlfn.ANCHORARRAY($L$5),$M$5:$M$18)</f>
        <v>Fromag. Centrale</v>
      </c>
      <c r="I116" t="str">
        <v>Mozzarella</v>
      </c>
      <c r="J116">
        <f t="shared" si="6"/>
        <v>6</v>
      </c>
      <c r="T116">
        <v>13.21</v>
      </c>
    </row>
    <row r="117" spans="1:20" x14ac:dyDescent="0.25">
      <c r="A117" t="s">
        <v>196</v>
      </c>
      <c r="B117" t="s">
        <v>197</v>
      </c>
      <c r="C117" t="s">
        <v>97</v>
      </c>
      <c r="D117" t="s">
        <v>10</v>
      </c>
      <c r="E117">
        <v>6</v>
      </c>
      <c r="F117" t="s">
        <v>11</v>
      </c>
      <c r="G117">
        <v>14.78</v>
      </c>
      <c r="H117" t="str" cm="1">
        <f t="array" ref="H117">_xlfn.XLOOKUP(TRIM(C117),_xlfn.ANCHORARRAY($L$5),$M$5:$M$18)</f>
        <v>Metro</v>
      </c>
      <c r="I117" t="str">
        <v>Coca Cola</v>
      </c>
      <c r="J117">
        <f t="shared" si="6"/>
        <v>6</v>
      </c>
      <c r="T117">
        <v>13.63</v>
      </c>
    </row>
    <row r="118" spans="1:20" x14ac:dyDescent="0.25">
      <c r="A118" t="s">
        <v>198</v>
      </c>
      <c r="B118" t="s">
        <v>197</v>
      </c>
      <c r="C118" t="s">
        <v>9</v>
      </c>
      <c r="D118" t="s">
        <v>14</v>
      </c>
      <c r="E118">
        <v>5</v>
      </c>
      <c r="F118" t="s">
        <v>11</v>
      </c>
      <c r="G118">
        <v>13.08</v>
      </c>
      <c r="H118" t="str" cm="1">
        <f t="array" ref="H118">_xlfn.XLOOKUP(TRIM(C118),_xlfn.ANCHORARRAY($L$5),$M$5:$M$18)</f>
        <v>Metro</v>
      </c>
      <c r="I118" t="str">
        <v>7up</v>
      </c>
      <c r="J118">
        <f t="shared" si="6"/>
        <v>5</v>
      </c>
      <c r="T118">
        <v>13.38</v>
      </c>
    </row>
    <row r="119" spans="1:20" x14ac:dyDescent="0.25">
      <c r="A119" t="s">
        <v>199</v>
      </c>
      <c r="B119" t="s">
        <v>197</v>
      </c>
      <c r="C119" t="s">
        <v>61</v>
      </c>
      <c r="D119" t="s">
        <v>16</v>
      </c>
      <c r="E119">
        <v>3</v>
      </c>
      <c r="F119" t="s">
        <v>17</v>
      </c>
      <c r="G119">
        <v>1.18</v>
      </c>
      <c r="H119" t="str" cm="1">
        <f t="array" ref="H119">_xlfn.XLOOKUP(TRIM(C119),_xlfn.ANCHORARRAY($L$5),$M$5:$M$18)</f>
        <v>Metro</v>
      </c>
      <c r="I119" t="str">
        <v>Sel</v>
      </c>
      <c r="J119">
        <f t="shared" si="6"/>
        <v>3</v>
      </c>
      <c r="T119">
        <v>12.89</v>
      </c>
    </row>
    <row r="120" spans="1:20" x14ac:dyDescent="0.25">
      <c r="A120" t="s">
        <v>200</v>
      </c>
      <c r="B120" t="s">
        <v>197</v>
      </c>
      <c r="C120" t="s">
        <v>19</v>
      </c>
      <c r="D120" t="s">
        <v>20</v>
      </c>
      <c r="E120">
        <v>4</v>
      </c>
      <c r="F120" t="s">
        <v>21</v>
      </c>
      <c r="G120">
        <v>4.38</v>
      </c>
      <c r="H120" t="str" cm="1">
        <f t="array" ref="H120">_xlfn.XLOOKUP(TRIM(C120),_xlfn.ANCHORARRAY($L$5),$M$5:$M$18)</f>
        <v>LEGUMEX</v>
      </c>
      <c r="I120" t="str">
        <v>Tomates pelées</v>
      </c>
      <c r="J120">
        <f t="shared" si="6"/>
        <v>4</v>
      </c>
      <c r="T120">
        <v>13.04</v>
      </c>
    </row>
    <row r="121" spans="1:20" x14ac:dyDescent="0.25">
      <c r="A121" t="s">
        <v>201</v>
      </c>
      <c r="B121" t="s">
        <v>197</v>
      </c>
      <c r="C121" t="s">
        <v>46</v>
      </c>
      <c r="D121" t="s">
        <v>24</v>
      </c>
      <c r="E121">
        <v>10</v>
      </c>
      <c r="F121" t="s">
        <v>25</v>
      </c>
      <c r="G121">
        <v>22.45</v>
      </c>
      <c r="H121" t="str" cm="1">
        <f t="array" ref="H121">_xlfn.XLOOKUP(TRIM(C121),_xlfn.ANCHORARRAY($L$5),$M$5:$M$18)</f>
        <v>LEGUMEX</v>
      </c>
      <c r="I121" t="str">
        <v>Huile olive</v>
      </c>
      <c r="J121">
        <f t="shared" si="6"/>
        <v>10</v>
      </c>
      <c r="T121">
        <v>13.53</v>
      </c>
    </row>
    <row r="122" spans="1:20" x14ac:dyDescent="0.25">
      <c r="A122" t="s">
        <v>202</v>
      </c>
      <c r="B122" t="s">
        <v>197</v>
      </c>
      <c r="C122" t="s">
        <v>23</v>
      </c>
      <c r="D122" t="s">
        <v>28</v>
      </c>
      <c r="E122">
        <v>4</v>
      </c>
      <c r="F122" t="s">
        <v>29</v>
      </c>
      <c r="G122">
        <v>9.81</v>
      </c>
      <c r="H122" t="str" cm="1">
        <f t="array" ref="H122">_xlfn.XLOOKUP(TRIM(C122),_xlfn.ANCHORARRAY($L$5),$M$5:$M$18)</f>
        <v>LEGUMEX</v>
      </c>
      <c r="I122" t="str">
        <v>Sauce tomate</v>
      </c>
      <c r="J122">
        <f t="shared" si="6"/>
        <v>4</v>
      </c>
      <c r="T122">
        <v>13.08</v>
      </c>
    </row>
    <row r="123" spans="1:20" x14ac:dyDescent="0.25">
      <c r="A123" t="s">
        <v>203</v>
      </c>
      <c r="B123" t="s">
        <v>204</v>
      </c>
      <c r="C123" t="s">
        <v>66</v>
      </c>
      <c r="D123" t="s">
        <v>33</v>
      </c>
      <c r="E123">
        <v>8</v>
      </c>
      <c r="F123" t="s">
        <v>17</v>
      </c>
      <c r="G123">
        <v>9.4499999999999993</v>
      </c>
      <c r="H123" t="str" cm="1">
        <f t="array" ref="H123">_xlfn.XLOOKUP(TRIM(C123),_xlfn.ANCHORARRAY($L$5),$M$5:$M$18)</f>
        <v>B. Halal Pro</v>
      </c>
      <c r="I123" t="str">
        <v>Viande hachée</v>
      </c>
      <c r="J123">
        <f t="shared" si="6"/>
        <v>8</v>
      </c>
      <c r="T123">
        <v>13.09</v>
      </c>
    </row>
    <row r="124" spans="1:20" x14ac:dyDescent="0.25">
      <c r="A124" t="s">
        <v>205</v>
      </c>
      <c r="B124" t="s">
        <v>204</v>
      </c>
      <c r="C124" t="s">
        <v>66</v>
      </c>
      <c r="D124" t="s">
        <v>35</v>
      </c>
      <c r="E124">
        <v>10</v>
      </c>
      <c r="F124" t="s">
        <v>17</v>
      </c>
      <c r="G124">
        <v>7.61</v>
      </c>
      <c r="H124" t="str" cm="1">
        <f t="array" ref="H124">_xlfn.XLOOKUP(TRIM(C124),_xlfn.ANCHORARRAY($L$5),$M$5:$M$18)</f>
        <v>B. Halal Pro</v>
      </c>
      <c r="I124" t="str">
        <v>Poulet émincé</v>
      </c>
      <c r="J124">
        <f t="shared" si="6"/>
        <v>10</v>
      </c>
      <c r="T124">
        <v>13.84</v>
      </c>
    </row>
    <row r="125" spans="1:20" x14ac:dyDescent="0.25">
      <c r="A125" t="s">
        <v>206</v>
      </c>
      <c r="B125" t="s">
        <v>204</v>
      </c>
      <c r="C125" t="s">
        <v>83</v>
      </c>
      <c r="D125" t="s">
        <v>38</v>
      </c>
      <c r="E125">
        <v>10</v>
      </c>
      <c r="F125" t="s">
        <v>39</v>
      </c>
      <c r="G125">
        <v>5.85</v>
      </c>
      <c r="H125" t="str" cm="1">
        <f t="array" ref="H125">_xlfn.XLOOKUP(TRIM(C125),_xlfn.ANCHORARRAY($L$5),$M$5:$M$18)</f>
        <v>Boul. Express</v>
      </c>
      <c r="I125" t="str">
        <v>Pain burger</v>
      </c>
      <c r="J125">
        <f t="shared" si="6"/>
        <v>10</v>
      </c>
    </row>
    <row r="126" spans="1:20" x14ac:dyDescent="0.25">
      <c r="A126" t="s">
        <v>207</v>
      </c>
      <c r="B126" t="s">
        <v>204</v>
      </c>
      <c r="C126" t="s">
        <v>41</v>
      </c>
      <c r="D126" t="s">
        <v>42</v>
      </c>
      <c r="E126">
        <v>12</v>
      </c>
      <c r="F126" t="s">
        <v>43</v>
      </c>
      <c r="G126">
        <v>3.91</v>
      </c>
      <c r="H126" t="str" cm="1">
        <f t="array" ref="H126">_xlfn.XLOOKUP(TRIM(C126),_xlfn.ANCHORARRAY($L$5),$M$5:$M$18)</f>
        <v>Boul. Express</v>
      </c>
      <c r="I126" t="str">
        <v>Pain pita</v>
      </c>
      <c r="J126">
        <f t="shared" si="6"/>
        <v>12</v>
      </c>
    </row>
    <row r="127" spans="1:20" x14ac:dyDescent="0.25">
      <c r="A127" t="s">
        <v>208</v>
      </c>
      <c r="B127" t="s">
        <v>209</v>
      </c>
      <c r="C127" t="s">
        <v>23</v>
      </c>
      <c r="D127" t="s">
        <v>20</v>
      </c>
      <c r="E127">
        <v>4</v>
      </c>
      <c r="F127" t="s">
        <v>21</v>
      </c>
      <c r="G127">
        <v>4.49</v>
      </c>
      <c r="H127" t="str" cm="1">
        <f t="array" ref="H127">_xlfn.XLOOKUP(TRIM(C127),_xlfn.ANCHORARRAY($L$5),$M$5:$M$18)</f>
        <v>LEGUMEX</v>
      </c>
      <c r="I127" t="str">
        <v>Tomates pelées</v>
      </c>
      <c r="J127">
        <f t="shared" si="6"/>
        <v>4</v>
      </c>
    </row>
    <row r="128" spans="1:20" x14ac:dyDescent="0.25">
      <c r="A128" t="s">
        <v>210</v>
      </c>
      <c r="B128" t="s">
        <v>209</v>
      </c>
      <c r="C128" t="s">
        <v>27</v>
      </c>
      <c r="D128" t="s">
        <v>24</v>
      </c>
      <c r="E128">
        <v>10</v>
      </c>
      <c r="F128" t="s">
        <v>25</v>
      </c>
      <c r="G128">
        <v>21.14</v>
      </c>
      <c r="H128" t="str" cm="1">
        <f t="array" ref="H128">_xlfn.XLOOKUP(TRIM(C128),_xlfn.ANCHORARRAY($L$5),$M$5:$M$18)</f>
        <v>LEGUMEX</v>
      </c>
      <c r="I128" t="str">
        <v>Huile olive</v>
      </c>
      <c r="J128">
        <f t="shared" si="6"/>
        <v>10</v>
      </c>
    </row>
    <row r="129" spans="1:10" x14ac:dyDescent="0.25">
      <c r="A129" t="s">
        <v>211</v>
      </c>
      <c r="B129" t="s">
        <v>209</v>
      </c>
      <c r="C129" t="s">
        <v>23</v>
      </c>
      <c r="D129" t="s">
        <v>28</v>
      </c>
      <c r="E129">
        <v>8</v>
      </c>
      <c r="F129" t="s">
        <v>29</v>
      </c>
      <c r="G129">
        <v>9.5399999999999991</v>
      </c>
      <c r="H129" t="str" cm="1">
        <f t="array" ref="H129">_xlfn.XLOOKUP(TRIM(C129),_xlfn.ANCHORARRAY($L$5),$M$5:$M$18)</f>
        <v>LEGUMEX</v>
      </c>
      <c r="I129" t="str">
        <v>Sauce tomate</v>
      </c>
      <c r="J129">
        <f t="shared" si="6"/>
        <v>8</v>
      </c>
    </row>
    <row r="130" spans="1:10" x14ac:dyDescent="0.25">
      <c r="A130" t="s">
        <v>212</v>
      </c>
      <c r="B130" t="s">
        <v>209</v>
      </c>
      <c r="C130" t="s">
        <v>152</v>
      </c>
      <c r="D130" t="s">
        <v>51</v>
      </c>
      <c r="E130">
        <v>3</v>
      </c>
      <c r="F130" t="s">
        <v>52</v>
      </c>
      <c r="G130">
        <v>18.52</v>
      </c>
      <c r="H130" t="str" cm="1">
        <f t="array" ref="H130">_xlfn.XLOOKUP(TRIM(C130),_xlfn.ANCHORARRAY($L$5),$M$5:$M$18)</f>
        <v>Moulin du Nord</v>
      </c>
      <c r="I130" t="str">
        <v>Farine</v>
      </c>
      <c r="J130">
        <f t="shared" ref="J130:J193" si="7">IF(E130&lt;&gt;0,E130,_xlfn.XLOOKUP(I130,$Q$5:$Q$16,$Y$5:$Y$16))</f>
        <v>3</v>
      </c>
    </row>
    <row r="131" spans="1:10" x14ac:dyDescent="0.25">
      <c r="A131" t="s">
        <v>213</v>
      </c>
      <c r="B131" t="s">
        <v>209</v>
      </c>
      <c r="C131" t="s">
        <v>195</v>
      </c>
      <c r="D131" t="s">
        <v>55</v>
      </c>
      <c r="E131">
        <v>10</v>
      </c>
      <c r="F131" t="s">
        <v>17</v>
      </c>
      <c r="G131">
        <v>8.76</v>
      </c>
      <c r="H131" t="str" cm="1">
        <f t="array" ref="H131">_xlfn.XLOOKUP(TRIM(C131),_xlfn.ANCHORARRAY($L$5),$M$5:$M$18)</f>
        <v>Fromag. Centrale</v>
      </c>
      <c r="I131" t="str">
        <v>Mozzarella</v>
      </c>
      <c r="J131">
        <f t="shared" si="7"/>
        <v>10</v>
      </c>
    </row>
    <row r="132" spans="1:10" x14ac:dyDescent="0.25">
      <c r="A132" t="s">
        <v>214</v>
      </c>
      <c r="B132" t="s">
        <v>215</v>
      </c>
      <c r="C132" t="s">
        <v>9</v>
      </c>
      <c r="D132" t="s">
        <v>10</v>
      </c>
      <c r="E132">
        <v>6</v>
      </c>
      <c r="F132" t="s">
        <v>11</v>
      </c>
      <c r="G132">
        <v>13.99</v>
      </c>
      <c r="H132" t="str" cm="1">
        <f t="array" ref="H132">_xlfn.XLOOKUP(TRIM(C132),_xlfn.ANCHORARRAY($L$5),$M$5:$M$18)</f>
        <v>Metro</v>
      </c>
      <c r="I132" t="str">
        <v>Coca Cola</v>
      </c>
      <c r="J132">
        <f t="shared" si="7"/>
        <v>6</v>
      </c>
    </row>
    <row r="133" spans="1:10" x14ac:dyDescent="0.25">
      <c r="A133" t="s">
        <v>216</v>
      </c>
      <c r="B133" t="s">
        <v>215</v>
      </c>
      <c r="C133" t="s">
        <v>97</v>
      </c>
      <c r="D133" t="s">
        <v>14</v>
      </c>
      <c r="E133">
        <v>4</v>
      </c>
      <c r="F133" t="s">
        <v>11</v>
      </c>
      <c r="G133">
        <v>13.58</v>
      </c>
      <c r="H133" t="str" cm="1">
        <f t="array" ref="H133">_xlfn.XLOOKUP(TRIM(C133),_xlfn.ANCHORARRAY($L$5),$M$5:$M$18)</f>
        <v>Metro</v>
      </c>
      <c r="I133" t="str">
        <v>7up</v>
      </c>
      <c r="J133">
        <f t="shared" si="7"/>
        <v>4</v>
      </c>
    </row>
    <row r="134" spans="1:10" x14ac:dyDescent="0.25">
      <c r="A134" t="s">
        <v>217</v>
      </c>
      <c r="B134" t="s">
        <v>215</v>
      </c>
      <c r="C134" t="s">
        <v>9</v>
      </c>
      <c r="D134" t="s">
        <v>16</v>
      </c>
      <c r="E134">
        <v>3</v>
      </c>
      <c r="F134" t="s">
        <v>17</v>
      </c>
      <c r="G134">
        <v>1.27</v>
      </c>
      <c r="H134" t="str" cm="1">
        <f t="array" ref="H134">_xlfn.XLOOKUP(TRIM(C134),_xlfn.ANCHORARRAY($L$5),$M$5:$M$18)</f>
        <v>Metro</v>
      </c>
      <c r="I134" t="str">
        <v>Sel</v>
      </c>
      <c r="J134">
        <f t="shared" si="7"/>
        <v>3</v>
      </c>
    </row>
    <row r="135" spans="1:10" x14ac:dyDescent="0.25">
      <c r="A135" t="s">
        <v>218</v>
      </c>
      <c r="B135" t="s">
        <v>219</v>
      </c>
      <c r="C135" t="s">
        <v>64</v>
      </c>
      <c r="D135" t="s">
        <v>33</v>
      </c>
      <c r="E135">
        <v>6</v>
      </c>
      <c r="F135" t="s">
        <v>17</v>
      </c>
      <c r="G135">
        <v>9.7799999999999994</v>
      </c>
      <c r="H135" t="str" cm="1">
        <f t="array" ref="H135">_xlfn.XLOOKUP(TRIM(C135),_xlfn.ANCHORARRAY($L$5),$M$5:$M$18)</f>
        <v>B. Halal Pro</v>
      </c>
      <c r="I135" t="str">
        <v>Viande hachée</v>
      </c>
      <c r="J135">
        <f t="shared" si="7"/>
        <v>6</v>
      </c>
    </row>
    <row r="136" spans="1:10" x14ac:dyDescent="0.25">
      <c r="A136" t="s">
        <v>220</v>
      </c>
      <c r="B136" t="s">
        <v>219</v>
      </c>
      <c r="C136" t="s">
        <v>64</v>
      </c>
      <c r="D136" t="s">
        <v>35</v>
      </c>
      <c r="E136">
        <v>6</v>
      </c>
      <c r="F136" t="s">
        <v>17</v>
      </c>
      <c r="G136">
        <v>7.27</v>
      </c>
      <c r="H136" t="str" cm="1">
        <f t="array" ref="H136">_xlfn.XLOOKUP(TRIM(C136),_xlfn.ANCHORARRAY($L$5),$M$5:$M$18)</f>
        <v>B. Halal Pro</v>
      </c>
      <c r="I136" t="str">
        <v>Poulet émincé</v>
      </c>
      <c r="J136">
        <f t="shared" si="7"/>
        <v>6</v>
      </c>
    </row>
    <row r="137" spans="1:10" x14ac:dyDescent="0.25">
      <c r="A137" t="s">
        <v>221</v>
      </c>
      <c r="B137" t="s">
        <v>219</v>
      </c>
      <c r="C137" t="s">
        <v>37</v>
      </c>
      <c r="D137" t="s">
        <v>38</v>
      </c>
      <c r="E137">
        <v>8</v>
      </c>
      <c r="F137" t="s">
        <v>39</v>
      </c>
      <c r="G137">
        <v>5.95</v>
      </c>
      <c r="H137" t="str" cm="1">
        <f t="array" ref="H137">_xlfn.XLOOKUP(TRIM(C137),_xlfn.ANCHORARRAY($L$5),$M$5:$M$18)</f>
        <v>Boul. Express</v>
      </c>
      <c r="I137" t="str">
        <v>Pain burger</v>
      </c>
      <c r="J137">
        <f t="shared" si="7"/>
        <v>8</v>
      </c>
    </row>
    <row r="138" spans="1:10" x14ac:dyDescent="0.25">
      <c r="A138" t="s">
        <v>222</v>
      </c>
      <c r="B138" t="s">
        <v>219</v>
      </c>
      <c r="C138" t="s">
        <v>41</v>
      </c>
      <c r="D138" t="s">
        <v>42</v>
      </c>
      <c r="E138">
        <v>8</v>
      </c>
      <c r="F138" t="s">
        <v>43</v>
      </c>
      <c r="G138">
        <v>4</v>
      </c>
      <c r="H138" t="str" cm="1">
        <f t="array" ref="H138">_xlfn.XLOOKUP(TRIM(C138),_xlfn.ANCHORARRAY($L$5),$M$5:$M$18)</f>
        <v>Boul. Express</v>
      </c>
      <c r="I138" t="str">
        <v>Pain pita</v>
      </c>
      <c r="J138">
        <f t="shared" si="7"/>
        <v>8</v>
      </c>
    </row>
    <row r="139" spans="1:10" x14ac:dyDescent="0.25">
      <c r="A139" t="s">
        <v>223</v>
      </c>
      <c r="B139" t="s">
        <v>224</v>
      </c>
      <c r="C139" t="s">
        <v>154</v>
      </c>
      <c r="D139" t="s">
        <v>55</v>
      </c>
      <c r="E139">
        <v>8</v>
      </c>
      <c r="F139" t="s">
        <v>17</v>
      </c>
      <c r="G139">
        <v>9.19</v>
      </c>
      <c r="H139" t="str" cm="1">
        <f t="array" ref="H139">_xlfn.XLOOKUP(TRIM(C139),_xlfn.ANCHORARRAY($L$5),$M$5:$M$18)</f>
        <v>Fromag. Centrale</v>
      </c>
      <c r="I139" t="str">
        <v>Mozzarella</v>
      </c>
      <c r="J139">
        <f t="shared" si="7"/>
        <v>8</v>
      </c>
    </row>
    <row r="140" spans="1:10" x14ac:dyDescent="0.25">
      <c r="A140" t="s">
        <v>225</v>
      </c>
      <c r="B140" t="s">
        <v>226</v>
      </c>
      <c r="C140" t="s">
        <v>59</v>
      </c>
      <c r="D140" t="s">
        <v>10</v>
      </c>
      <c r="E140">
        <v>6</v>
      </c>
      <c r="F140" t="s">
        <v>11</v>
      </c>
      <c r="G140">
        <v>15.19</v>
      </c>
      <c r="H140" t="str" cm="1">
        <f t="array" ref="H140">_xlfn.XLOOKUP(TRIM(C140),_xlfn.ANCHORARRAY($L$5),$M$5:$M$18)</f>
        <v>Metro</v>
      </c>
      <c r="I140" t="str">
        <v>Coca Cola</v>
      </c>
      <c r="J140">
        <f t="shared" si="7"/>
        <v>6</v>
      </c>
    </row>
    <row r="141" spans="1:10" x14ac:dyDescent="0.25">
      <c r="A141" t="s">
        <v>227</v>
      </c>
      <c r="B141" t="s">
        <v>226</v>
      </c>
      <c r="C141" t="s">
        <v>61</v>
      </c>
      <c r="D141" t="s">
        <v>14</v>
      </c>
      <c r="E141">
        <v>4</v>
      </c>
      <c r="F141" t="s">
        <v>11</v>
      </c>
      <c r="G141">
        <v>12.93</v>
      </c>
      <c r="H141" t="str" cm="1">
        <f t="array" ref="H141">_xlfn.XLOOKUP(TRIM(C141),_xlfn.ANCHORARRAY($L$5),$M$5:$M$18)</f>
        <v>Metro</v>
      </c>
      <c r="I141" t="str">
        <v>7up</v>
      </c>
      <c r="J141">
        <f t="shared" si="7"/>
        <v>4</v>
      </c>
    </row>
    <row r="142" spans="1:10" x14ac:dyDescent="0.25">
      <c r="A142" t="s">
        <v>228</v>
      </c>
      <c r="B142" t="s">
        <v>226</v>
      </c>
      <c r="C142" t="s">
        <v>61</v>
      </c>
      <c r="D142" t="s">
        <v>16</v>
      </c>
      <c r="E142">
        <v>3</v>
      </c>
      <c r="F142" t="s">
        <v>17</v>
      </c>
      <c r="G142">
        <v>1.25</v>
      </c>
      <c r="H142" t="str" cm="1">
        <f t="array" ref="H142">_xlfn.XLOOKUP(TRIM(C142),_xlfn.ANCHORARRAY($L$5),$M$5:$M$18)</f>
        <v>Metro</v>
      </c>
      <c r="I142" t="str">
        <v>Sel</v>
      </c>
      <c r="J142">
        <f t="shared" si="7"/>
        <v>3</v>
      </c>
    </row>
    <row r="143" spans="1:10" x14ac:dyDescent="0.25">
      <c r="A143" t="s">
        <v>229</v>
      </c>
      <c r="B143" t="s">
        <v>226</v>
      </c>
      <c r="C143" t="s">
        <v>27</v>
      </c>
      <c r="D143" t="s">
        <v>20</v>
      </c>
      <c r="E143">
        <v>10</v>
      </c>
      <c r="F143" t="s">
        <v>21</v>
      </c>
      <c r="G143">
        <v>4.18</v>
      </c>
      <c r="H143" t="str" cm="1">
        <f t="array" ref="H143">_xlfn.XLOOKUP(TRIM(C143),_xlfn.ANCHORARRAY($L$5),$M$5:$M$18)</f>
        <v>LEGUMEX</v>
      </c>
      <c r="I143" t="str">
        <v>Tomates pelées</v>
      </c>
      <c r="J143">
        <f t="shared" si="7"/>
        <v>10</v>
      </c>
    </row>
    <row r="144" spans="1:10" x14ac:dyDescent="0.25">
      <c r="A144" t="s">
        <v>230</v>
      </c>
      <c r="B144" t="s">
        <v>226</v>
      </c>
      <c r="C144" t="s">
        <v>27</v>
      </c>
      <c r="D144" t="s">
        <v>24</v>
      </c>
      <c r="F144" t="s">
        <v>25</v>
      </c>
      <c r="G144">
        <v>22.35</v>
      </c>
      <c r="H144" t="str" cm="1">
        <f t="array" ref="H144">_xlfn.XLOOKUP(TRIM(C144),_xlfn.ANCHORARRAY($L$5),$M$5:$M$18)</f>
        <v>LEGUMEX</v>
      </c>
      <c r="I144" t="str">
        <v>Huile olive</v>
      </c>
      <c r="J144">
        <f t="shared" si="7"/>
        <v>6</v>
      </c>
    </row>
    <row r="145" spans="1:10" x14ac:dyDescent="0.25">
      <c r="A145" t="s">
        <v>231</v>
      </c>
      <c r="B145" t="s">
        <v>226</v>
      </c>
      <c r="C145" t="s">
        <v>23</v>
      </c>
      <c r="D145" t="s">
        <v>28</v>
      </c>
      <c r="E145">
        <v>4</v>
      </c>
      <c r="F145" t="s">
        <v>29</v>
      </c>
      <c r="G145">
        <v>10.36</v>
      </c>
      <c r="H145" t="str" cm="1">
        <f t="array" ref="H145">_xlfn.XLOOKUP(TRIM(C145),_xlfn.ANCHORARRAY($L$5),$M$5:$M$18)</f>
        <v>LEGUMEX</v>
      </c>
      <c r="I145" t="str">
        <v>Sauce tomate</v>
      </c>
      <c r="J145">
        <f t="shared" si="7"/>
        <v>4</v>
      </c>
    </row>
    <row r="146" spans="1:10" x14ac:dyDescent="0.25">
      <c r="A146" t="s">
        <v>232</v>
      </c>
      <c r="B146" t="s">
        <v>233</v>
      </c>
      <c r="C146" t="s">
        <v>32</v>
      </c>
      <c r="D146" t="s">
        <v>33</v>
      </c>
      <c r="E146">
        <v>10</v>
      </c>
      <c r="F146" t="s">
        <v>17</v>
      </c>
      <c r="G146">
        <v>9.81</v>
      </c>
      <c r="H146" t="str" cm="1">
        <f t="array" ref="H146">_xlfn.XLOOKUP(TRIM(C146),_xlfn.ANCHORARRAY($L$5),$M$5:$M$18)</f>
        <v>B. Halal Pro</v>
      </c>
      <c r="I146" t="str">
        <v>Viande hachée</v>
      </c>
      <c r="J146">
        <f t="shared" si="7"/>
        <v>10</v>
      </c>
    </row>
    <row r="147" spans="1:10" x14ac:dyDescent="0.25">
      <c r="A147" t="s">
        <v>234</v>
      </c>
      <c r="B147" t="s">
        <v>233</v>
      </c>
      <c r="C147" t="s">
        <v>66</v>
      </c>
      <c r="D147" t="s">
        <v>35</v>
      </c>
      <c r="E147">
        <v>12</v>
      </c>
      <c r="F147" t="s">
        <v>17</v>
      </c>
      <c r="G147">
        <v>6.83</v>
      </c>
      <c r="H147" t="str" cm="1">
        <f t="array" ref="H147">_xlfn.XLOOKUP(TRIM(C147),_xlfn.ANCHORARRAY($L$5),$M$5:$M$18)</f>
        <v>B. Halal Pro</v>
      </c>
      <c r="I147" t="str">
        <v>Poulet émincé</v>
      </c>
      <c r="J147">
        <f t="shared" si="7"/>
        <v>12</v>
      </c>
    </row>
    <row r="148" spans="1:10" x14ac:dyDescent="0.25">
      <c r="A148" t="s">
        <v>235</v>
      </c>
      <c r="B148" t="s">
        <v>233</v>
      </c>
      <c r="C148" t="s">
        <v>37</v>
      </c>
      <c r="D148" t="s">
        <v>38</v>
      </c>
      <c r="E148">
        <v>12</v>
      </c>
      <c r="F148" t="s">
        <v>39</v>
      </c>
      <c r="G148">
        <v>5.9</v>
      </c>
      <c r="H148" t="str" cm="1">
        <f t="array" ref="H148">_xlfn.XLOOKUP(TRIM(C148),_xlfn.ANCHORARRAY($L$5),$M$5:$M$18)</f>
        <v>Boul. Express</v>
      </c>
      <c r="I148" t="str">
        <v>Pain burger</v>
      </c>
      <c r="J148">
        <f t="shared" si="7"/>
        <v>12</v>
      </c>
    </row>
    <row r="149" spans="1:10" x14ac:dyDescent="0.25">
      <c r="A149" t="s">
        <v>236</v>
      </c>
      <c r="B149" t="s">
        <v>233</v>
      </c>
      <c r="C149" t="s">
        <v>37</v>
      </c>
      <c r="D149" t="s">
        <v>42</v>
      </c>
      <c r="E149">
        <v>8</v>
      </c>
      <c r="F149" t="s">
        <v>43</v>
      </c>
      <c r="G149">
        <v>3.9</v>
      </c>
      <c r="H149" t="str" cm="1">
        <f t="array" ref="H149">_xlfn.XLOOKUP(TRIM(C149),_xlfn.ANCHORARRAY($L$5),$M$5:$M$18)</f>
        <v>Boul. Express</v>
      </c>
      <c r="I149" t="str">
        <v>Pain pita</v>
      </c>
      <c r="J149">
        <f t="shared" si="7"/>
        <v>8</v>
      </c>
    </row>
    <row r="150" spans="1:10" x14ac:dyDescent="0.25">
      <c r="A150" t="s">
        <v>237</v>
      </c>
      <c r="B150" t="s">
        <v>238</v>
      </c>
      <c r="C150" t="s">
        <v>27</v>
      </c>
      <c r="D150" t="s">
        <v>20</v>
      </c>
      <c r="E150">
        <v>10</v>
      </c>
      <c r="F150" t="s">
        <v>21</v>
      </c>
      <c r="G150">
        <v>4.1399999999999997</v>
      </c>
      <c r="H150" t="str" cm="1">
        <f t="array" ref="H150">_xlfn.XLOOKUP(TRIM(C150),_xlfn.ANCHORARRAY($L$5),$M$5:$M$18)</f>
        <v>LEGUMEX</v>
      </c>
      <c r="I150" t="str">
        <v>Tomates pelées</v>
      </c>
      <c r="J150">
        <f t="shared" si="7"/>
        <v>10</v>
      </c>
    </row>
    <row r="151" spans="1:10" x14ac:dyDescent="0.25">
      <c r="A151" t="s">
        <v>239</v>
      </c>
      <c r="B151" t="s">
        <v>238</v>
      </c>
      <c r="C151" t="s">
        <v>23</v>
      </c>
      <c r="D151" t="s">
        <v>24</v>
      </c>
      <c r="E151">
        <v>10</v>
      </c>
      <c r="F151" t="s">
        <v>25</v>
      </c>
      <c r="G151">
        <v>22.53</v>
      </c>
      <c r="H151" t="str" cm="1">
        <f t="array" ref="H151">_xlfn.XLOOKUP(TRIM(C151),_xlfn.ANCHORARRAY($L$5),$M$5:$M$18)</f>
        <v>LEGUMEX</v>
      </c>
      <c r="I151" t="str">
        <v>Huile olive</v>
      </c>
      <c r="J151">
        <f t="shared" si="7"/>
        <v>10</v>
      </c>
    </row>
    <row r="152" spans="1:10" x14ac:dyDescent="0.25">
      <c r="A152" t="s">
        <v>240</v>
      </c>
      <c r="B152" t="s">
        <v>238</v>
      </c>
      <c r="C152" t="s">
        <v>23</v>
      </c>
      <c r="D152" t="s">
        <v>28</v>
      </c>
      <c r="E152">
        <v>6</v>
      </c>
      <c r="F152" t="s">
        <v>29</v>
      </c>
      <c r="G152">
        <v>10.39</v>
      </c>
      <c r="H152" t="str" cm="1">
        <f t="array" ref="H152">_xlfn.XLOOKUP(TRIM(C152),_xlfn.ANCHORARRAY($L$5),$M$5:$M$18)</f>
        <v>LEGUMEX</v>
      </c>
      <c r="I152" t="str">
        <v>Sauce tomate</v>
      </c>
      <c r="J152">
        <f t="shared" si="7"/>
        <v>6</v>
      </c>
    </row>
    <row r="153" spans="1:10" x14ac:dyDescent="0.25">
      <c r="A153" t="s">
        <v>241</v>
      </c>
      <c r="B153" t="s">
        <v>238</v>
      </c>
      <c r="C153" t="s">
        <v>242</v>
      </c>
      <c r="D153" t="s">
        <v>51</v>
      </c>
      <c r="E153">
        <v>3</v>
      </c>
      <c r="F153" t="s">
        <v>52</v>
      </c>
      <c r="G153">
        <v>19.09</v>
      </c>
      <c r="H153" t="str" cm="1">
        <f t="array" ref="H153">_xlfn.XLOOKUP(TRIM(C153),_xlfn.ANCHORARRAY($L$5),$M$5:$M$18)</f>
        <v>Moulin du Nord</v>
      </c>
      <c r="I153" t="str">
        <v>Farine</v>
      </c>
      <c r="J153">
        <f t="shared" si="7"/>
        <v>3</v>
      </c>
    </row>
    <row r="154" spans="1:10" x14ac:dyDescent="0.25">
      <c r="A154" t="s">
        <v>243</v>
      </c>
      <c r="B154" t="s">
        <v>238</v>
      </c>
      <c r="C154" t="s">
        <v>54</v>
      </c>
      <c r="D154" t="s">
        <v>55</v>
      </c>
      <c r="E154">
        <v>6</v>
      </c>
      <c r="F154" t="s">
        <v>17</v>
      </c>
      <c r="G154">
        <v>9.16</v>
      </c>
      <c r="H154" t="str" cm="1">
        <f t="array" ref="H154">_xlfn.XLOOKUP(TRIM(C154),_xlfn.ANCHORARRAY($L$5),$M$5:$M$18)</f>
        <v>Fromag. Centrale</v>
      </c>
      <c r="I154" t="str">
        <v>Mozzarella</v>
      </c>
      <c r="J154">
        <f t="shared" si="7"/>
        <v>6</v>
      </c>
    </row>
    <row r="155" spans="1:10" x14ac:dyDescent="0.25">
      <c r="A155" t="s">
        <v>244</v>
      </c>
      <c r="B155" t="s">
        <v>245</v>
      </c>
      <c r="C155" t="s">
        <v>59</v>
      </c>
      <c r="D155" t="s">
        <v>10</v>
      </c>
      <c r="E155">
        <v>6</v>
      </c>
      <c r="F155" t="s">
        <v>11</v>
      </c>
      <c r="G155">
        <v>14.69</v>
      </c>
      <c r="H155" t="str" cm="1">
        <f t="array" ref="H155">_xlfn.XLOOKUP(TRIM(C155),_xlfn.ANCHORARRAY($L$5),$M$5:$M$18)</f>
        <v>Metro</v>
      </c>
      <c r="I155" t="str">
        <v>Coca Cola</v>
      </c>
      <c r="J155">
        <f t="shared" si="7"/>
        <v>6</v>
      </c>
    </row>
    <row r="156" spans="1:10" x14ac:dyDescent="0.25">
      <c r="A156" t="s">
        <v>246</v>
      </c>
      <c r="B156" t="s">
        <v>245</v>
      </c>
      <c r="C156" t="s">
        <v>59</v>
      </c>
      <c r="D156" t="s">
        <v>14</v>
      </c>
      <c r="F156" t="s">
        <v>11</v>
      </c>
      <c r="G156">
        <v>13.34</v>
      </c>
      <c r="H156" t="str" cm="1">
        <f t="array" ref="H156">_xlfn.XLOOKUP(TRIM(C156),_xlfn.ANCHORARRAY($L$5),$M$5:$M$18)</f>
        <v>Metro</v>
      </c>
      <c r="I156" t="str">
        <v>7up</v>
      </c>
      <c r="J156">
        <f t="shared" si="7"/>
        <v>5</v>
      </c>
    </row>
    <row r="157" spans="1:10" x14ac:dyDescent="0.25">
      <c r="A157" t="s">
        <v>247</v>
      </c>
      <c r="B157" t="s">
        <v>245</v>
      </c>
      <c r="C157" t="s">
        <v>97</v>
      </c>
      <c r="D157" t="s">
        <v>16</v>
      </c>
      <c r="E157">
        <v>4</v>
      </c>
      <c r="F157" t="s">
        <v>17</v>
      </c>
      <c r="G157">
        <v>1.21</v>
      </c>
      <c r="H157" t="str" cm="1">
        <f t="array" ref="H157">_xlfn.XLOOKUP(TRIM(C157),_xlfn.ANCHORARRAY($L$5),$M$5:$M$18)</f>
        <v>Metro</v>
      </c>
      <c r="I157" t="str">
        <v>Sel</v>
      </c>
      <c r="J157">
        <f t="shared" si="7"/>
        <v>4</v>
      </c>
    </row>
    <row r="158" spans="1:10" x14ac:dyDescent="0.25">
      <c r="A158" t="s">
        <v>248</v>
      </c>
      <c r="B158" t="s">
        <v>249</v>
      </c>
      <c r="C158" t="s">
        <v>32</v>
      </c>
      <c r="D158" t="s">
        <v>33</v>
      </c>
      <c r="E158">
        <v>12</v>
      </c>
      <c r="F158" t="s">
        <v>17</v>
      </c>
      <c r="G158">
        <v>9.44</v>
      </c>
      <c r="H158" t="str" cm="1">
        <f t="array" ref="H158">_xlfn.XLOOKUP(TRIM(C158),_xlfn.ANCHORARRAY($L$5),$M$5:$M$18)</f>
        <v>B. Halal Pro</v>
      </c>
      <c r="I158" t="str">
        <v>Viande hachée</v>
      </c>
      <c r="J158">
        <f t="shared" si="7"/>
        <v>12</v>
      </c>
    </row>
    <row r="159" spans="1:10" x14ac:dyDescent="0.25">
      <c r="A159" t="s">
        <v>250</v>
      </c>
      <c r="B159" t="s">
        <v>249</v>
      </c>
      <c r="C159" t="s">
        <v>32</v>
      </c>
      <c r="D159" t="s">
        <v>35</v>
      </c>
      <c r="E159">
        <v>10</v>
      </c>
      <c r="F159" t="s">
        <v>17</v>
      </c>
      <c r="G159">
        <v>7.03</v>
      </c>
      <c r="H159" t="str" cm="1">
        <f t="array" ref="H159">_xlfn.XLOOKUP(TRIM(C159),_xlfn.ANCHORARRAY($L$5),$M$5:$M$18)</f>
        <v>B. Halal Pro</v>
      </c>
      <c r="I159" t="str">
        <v>Poulet émincé</v>
      </c>
      <c r="J159">
        <f t="shared" si="7"/>
        <v>10</v>
      </c>
    </row>
    <row r="160" spans="1:10" x14ac:dyDescent="0.25">
      <c r="A160" t="s">
        <v>251</v>
      </c>
      <c r="B160" t="s">
        <v>249</v>
      </c>
      <c r="C160" t="s">
        <v>37</v>
      </c>
      <c r="D160" t="s">
        <v>38</v>
      </c>
      <c r="E160">
        <v>8</v>
      </c>
      <c r="F160" t="s">
        <v>39</v>
      </c>
      <c r="G160">
        <v>5.76</v>
      </c>
      <c r="H160" t="str" cm="1">
        <f t="array" ref="H160">_xlfn.XLOOKUP(TRIM(C160),_xlfn.ANCHORARRAY($L$5),$M$5:$M$18)</f>
        <v>Boul. Express</v>
      </c>
      <c r="I160" t="str">
        <v>Pain burger</v>
      </c>
      <c r="J160">
        <f t="shared" si="7"/>
        <v>8</v>
      </c>
    </row>
    <row r="161" spans="1:10" x14ac:dyDescent="0.25">
      <c r="A161" t="s">
        <v>252</v>
      </c>
      <c r="B161" t="s">
        <v>249</v>
      </c>
      <c r="C161" t="s">
        <v>83</v>
      </c>
      <c r="D161" t="s">
        <v>42</v>
      </c>
      <c r="E161">
        <v>12</v>
      </c>
      <c r="F161" t="s">
        <v>43</v>
      </c>
      <c r="G161">
        <v>3.87</v>
      </c>
      <c r="H161" t="str" cm="1">
        <f t="array" ref="H161">_xlfn.XLOOKUP(TRIM(C161),_xlfn.ANCHORARRAY($L$5),$M$5:$M$18)</f>
        <v>Boul. Express</v>
      </c>
      <c r="I161" t="str">
        <v>Pain pita</v>
      </c>
      <c r="J161">
        <f t="shared" si="7"/>
        <v>12</v>
      </c>
    </row>
    <row r="162" spans="1:10" x14ac:dyDescent="0.25">
      <c r="A162" t="s">
        <v>253</v>
      </c>
      <c r="B162" t="s">
        <v>254</v>
      </c>
      <c r="C162" t="s">
        <v>54</v>
      </c>
      <c r="D162" t="s">
        <v>55</v>
      </c>
      <c r="E162">
        <v>6</v>
      </c>
      <c r="F162" t="s">
        <v>17</v>
      </c>
      <c r="G162">
        <v>9.76</v>
      </c>
      <c r="H162" t="str" cm="1">
        <f t="array" ref="H162">_xlfn.XLOOKUP(TRIM(C162),_xlfn.ANCHORARRAY($L$5),$M$5:$M$18)</f>
        <v>Fromag. Centrale</v>
      </c>
      <c r="I162" t="str">
        <v>Mozzarella</v>
      </c>
      <c r="J162">
        <f t="shared" si="7"/>
        <v>6</v>
      </c>
    </row>
    <row r="163" spans="1:10" x14ac:dyDescent="0.25">
      <c r="A163" t="s">
        <v>255</v>
      </c>
      <c r="B163" t="s">
        <v>256</v>
      </c>
      <c r="C163" t="s">
        <v>97</v>
      </c>
      <c r="D163" t="s">
        <v>10</v>
      </c>
      <c r="E163">
        <v>4</v>
      </c>
      <c r="F163" t="s">
        <v>11</v>
      </c>
      <c r="G163">
        <v>14.36</v>
      </c>
      <c r="H163" t="str" cm="1">
        <f t="array" ref="H163">_xlfn.XLOOKUP(TRIM(C163),_xlfn.ANCHORARRAY($L$5),$M$5:$M$18)</f>
        <v>Metro</v>
      </c>
      <c r="I163" t="str">
        <v>Coca Cola</v>
      </c>
      <c r="J163">
        <f t="shared" si="7"/>
        <v>4</v>
      </c>
    </row>
    <row r="164" spans="1:10" x14ac:dyDescent="0.25">
      <c r="A164" t="s">
        <v>257</v>
      </c>
      <c r="B164" t="s">
        <v>256</v>
      </c>
      <c r="C164" t="s">
        <v>13</v>
      </c>
      <c r="D164" t="s">
        <v>14</v>
      </c>
      <c r="E164">
        <v>5</v>
      </c>
      <c r="F164" t="s">
        <v>11</v>
      </c>
      <c r="G164">
        <v>12.86</v>
      </c>
      <c r="H164" t="str" cm="1">
        <f t="array" ref="H164">_xlfn.XLOOKUP(TRIM(C164),_xlfn.ANCHORARRAY($L$5),$M$5:$M$18)</f>
        <v>Metro</v>
      </c>
      <c r="I164" t="str">
        <v>7up</v>
      </c>
      <c r="J164">
        <f t="shared" si="7"/>
        <v>5</v>
      </c>
    </row>
    <row r="165" spans="1:10" x14ac:dyDescent="0.25">
      <c r="A165" t="s">
        <v>258</v>
      </c>
      <c r="B165" t="s">
        <v>256</v>
      </c>
      <c r="C165" t="s">
        <v>97</v>
      </c>
      <c r="D165" t="s">
        <v>16</v>
      </c>
      <c r="E165">
        <v>4</v>
      </c>
      <c r="F165" t="s">
        <v>17</v>
      </c>
      <c r="G165">
        <v>1.23</v>
      </c>
      <c r="H165" t="str" cm="1">
        <f t="array" ref="H165">_xlfn.XLOOKUP(TRIM(C165),_xlfn.ANCHORARRAY($L$5),$M$5:$M$18)</f>
        <v>Metro</v>
      </c>
      <c r="I165" t="str">
        <v>Sel</v>
      </c>
      <c r="J165">
        <f t="shared" si="7"/>
        <v>4</v>
      </c>
    </row>
    <row r="166" spans="1:10" x14ac:dyDescent="0.25">
      <c r="A166" t="s">
        <v>259</v>
      </c>
      <c r="B166" t="s">
        <v>256</v>
      </c>
      <c r="C166" t="s">
        <v>27</v>
      </c>
      <c r="D166" t="s">
        <v>20</v>
      </c>
      <c r="E166">
        <v>8</v>
      </c>
      <c r="F166" t="s">
        <v>21</v>
      </c>
      <c r="G166">
        <v>4.47</v>
      </c>
      <c r="H166" t="str" cm="1">
        <f t="array" ref="H166">_xlfn.XLOOKUP(TRIM(C166),_xlfn.ANCHORARRAY($L$5),$M$5:$M$18)</f>
        <v>LEGUMEX</v>
      </c>
      <c r="I166" t="str">
        <v>Tomates pelées</v>
      </c>
      <c r="J166">
        <f t="shared" si="7"/>
        <v>8</v>
      </c>
    </row>
    <row r="167" spans="1:10" x14ac:dyDescent="0.25">
      <c r="A167" t="s">
        <v>260</v>
      </c>
      <c r="B167" t="s">
        <v>256</v>
      </c>
      <c r="C167" t="s">
        <v>23</v>
      </c>
      <c r="D167" t="s">
        <v>24</v>
      </c>
      <c r="E167">
        <v>4</v>
      </c>
      <c r="F167" t="s">
        <v>25</v>
      </c>
      <c r="G167">
        <v>21.87</v>
      </c>
      <c r="H167" t="str" cm="1">
        <f t="array" ref="H167">_xlfn.XLOOKUP(TRIM(C167),_xlfn.ANCHORARRAY($L$5),$M$5:$M$18)</f>
        <v>LEGUMEX</v>
      </c>
      <c r="I167" t="str">
        <v>Huile olive</v>
      </c>
      <c r="J167">
        <f t="shared" si="7"/>
        <v>4</v>
      </c>
    </row>
    <row r="168" spans="1:10" x14ac:dyDescent="0.25">
      <c r="A168" t="s">
        <v>261</v>
      </c>
      <c r="B168" t="s">
        <v>256</v>
      </c>
      <c r="C168" t="s">
        <v>23</v>
      </c>
      <c r="D168" t="s">
        <v>28</v>
      </c>
      <c r="E168">
        <v>4</v>
      </c>
      <c r="F168" t="s">
        <v>29</v>
      </c>
      <c r="G168">
        <v>9.4600000000000009</v>
      </c>
      <c r="H168" t="str" cm="1">
        <f t="array" ref="H168">_xlfn.XLOOKUP(TRIM(C168),_xlfn.ANCHORARRAY($L$5),$M$5:$M$18)</f>
        <v>LEGUMEX</v>
      </c>
      <c r="I168" t="str">
        <v>Sauce tomate</v>
      </c>
      <c r="J168">
        <f t="shared" si="7"/>
        <v>4</v>
      </c>
    </row>
    <row r="169" spans="1:10" x14ac:dyDescent="0.25">
      <c r="A169" t="s">
        <v>262</v>
      </c>
      <c r="B169" t="s">
        <v>263</v>
      </c>
      <c r="C169" t="s">
        <v>64</v>
      </c>
      <c r="D169" t="s">
        <v>33</v>
      </c>
      <c r="E169">
        <v>5</v>
      </c>
      <c r="F169" t="s">
        <v>17</v>
      </c>
      <c r="G169">
        <v>9.68</v>
      </c>
      <c r="H169" t="str" cm="1">
        <f t="array" ref="H169">_xlfn.XLOOKUP(TRIM(C169),_xlfn.ANCHORARRAY($L$5),$M$5:$M$18)</f>
        <v>B. Halal Pro</v>
      </c>
      <c r="I169" t="str">
        <v>Viande hachée</v>
      </c>
      <c r="J169">
        <f t="shared" si="7"/>
        <v>5</v>
      </c>
    </row>
    <row r="170" spans="1:10" x14ac:dyDescent="0.25">
      <c r="A170" t="s">
        <v>264</v>
      </c>
      <c r="B170" t="s">
        <v>263</v>
      </c>
      <c r="C170" t="s">
        <v>32</v>
      </c>
      <c r="D170" t="s">
        <v>35</v>
      </c>
      <c r="E170">
        <v>6</v>
      </c>
      <c r="F170" t="s">
        <v>17</v>
      </c>
      <c r="G170">
        <v>6.72</v>
      </c>
      <c r="H170" t="str" cm="1">
        <f t="array" ref="H170">_xlfn.XLOOKUP(TRIM(C170),_xlfn.ANCHORARRAY($L$5),$M$5:$M$18)</f>
        <v>B. Halal Pro</v>
      </c>
      <c r="I170" t="str">
        <v>Poulet émincé</v>
      </c>
      <c r="J170">
        <f t="shared" si="7"/>
        <v>6</v>
      </c>
    </row>
    <row r="171" spans="1:10" x14ac:dyDescent="0.25">
      <c r="A171" t="s">
        <v>265</v>
      </c>
      <c r="B171" t="s">
        <v>263</v>
      </c>
      <c r="C171" t="s">
        <v>69</v>
      </c>
      <c r="D171" t="s">
        <v>38</v>
      </c>
      <c r="E171">
        <v>8</v>
      </c>
      <c r="F171" t="s">
        <v>39</v>
      </c>
      <c r="G171">
        <v>5.89</v>
      </c>
      <c r="H171" t="str" cm="1">
        <f t="array" ref="H171">_xlfn.XLOOKUP(TRIM(C171),_xlfn.ANCHORARRAY($L$5),$M$5:$M$18)</f>
        <v>Boul. Express</v>
      </c>
      <c r="I171" t="str">
        <v>Pain burger</v>
      </c>
      <c r="J171">
        <f t="shared" si="7"/>
        <v>8</v>
      </c>
    </row>
    <row r="172" spans="1:10" x14ac:dyDescent="0.25">
      <c r="A172" t="s">
        <v>266</v>
      </c>
      <c r="B172" t="s">
        <v>263</v>
      </c>
      <c r="C172" t="s">
        <v>69</v>
      </c>
      <c r="D172" t="s">
        <v>42</v>
      </c>
      <c r="E172">
        <v>12</v>
      </c>
      <c r="F172" t="s">
        <v>43</v>
      </c>
      <c r="G172">
        <v>3.93</v>
      </c>
      <c r="H172" t="str" cm="1">
        <f t="array" ref="H172">_xlfn.XLOOKUP(TRIM(C172),_xlfn.ANCHORARRAY($L$5),$M$5:$M$18)</f>
        <v>Boul. Express</v>
      </c>
      <c r="I172" t="str">
        <v>Pain pita</v>
      </c>
      <c r="J172">
        <f t="shared" si="7"/>
        <v>12</v>
      </c>
    </row>
    <row r="173" spans="1:10" x14ac:dyDescent="0.25">
      <c r="A173" t="s">
        <v>267</v>
      </c>
      <c r="B173" t="s">
        <v>268</v>
      </c>
      <c r="C173" t="s">
        <v>23</v>
      </c>
      <c r="D173" t="s">
        <v>20</v>
      </c>
      <c r="E173">
        <v>4</v>
      </c>
      <c r="F173" t="s">
        <v>21</v>
      </c>
      <c r="G173">
        <v>4.16</v>
      </c>
      <c r="H173" t="str" cm="1">
        <f t="array" ref="H173">_xlfn.XLOOKUP(TRIM(C173),_xlfn.ANCHORARRAY($L$5),$M$5:$M$18)</f>
        <v>LEGUMEX</v>
      </c>
      <c r="I173" t="str">
        <v>Tomates pelées</v>
      </c>
      <c r="J173">
        <f t="shared" si="7"/>
        <v>4</v>
      </c>
    </row>
    <row r="174" spans="1:10" x14ac:dyDescent="0.25">
      <c r="A174" t="s">
        <v>269</v>
      </c>
      <c r="B174" t="s">
        <v>268</v>
      </c>
      <c r="C174" t="s">
        <v>27</v>
      </c>
      <c r="D174" t="s">
        <v>24</v>
      </c>
      <c r="E174">
        <v>6</v>
      </c>
      <c r="F174" t="s">
        <v>25</v>
      </c>
      <c r="G174">
        <v>23.61</v>
      </c>
      <c r="H174" t="str" cm="1">
        <f t="array" ref="H174">_xlfn.XLOOKUP(TRIM(C174),_xlfn.ANCHORARRAY($L$5),$M$5:$M$18)</f>
        <v>LEGUMEX</v>
      </c>
      <c r="I174" t="str">
        <v>Huile olive</v>
      </c>
      <c r="J174">
        <f t="shared" si="7"/>
        <v>6</v>
      </c>
    </row>
    <row r="175" spans="1:10" x14ac:dyDescent="0.25">
      <c r="A175" t="s">
        <v>270</v>
      </c>
      <c r="B175" t="s">
        <v>268</v>
      </c>
      <c r="C175" t="s">
        <v>46</v>
      </c>
      <c r="D175" t="s">
        <v>28</v>
      </c>
      <c r="E175">
        <v>6</v>
      </c>
      <c r="F175" t="s">
        <v>29</v>
      </c>
      <c r="G175">
        <v>10.15</v>
      </c>
      <c r="H175" t="str" cm="1">
        <f t="array" ref="H175">_xlfn.XLOOKUP(TRIM(C175),_xlfn.ANCHORARRAY($L$5),$M$5:$M$18)</f>
        <v>LEGUMEX</v>
      </c>
      <c r="I175" t="str">
        <v>Sauce tomate</v>
      </c>
      <c r="J175">
        <f t="shared" si="7"/>
        <v>6</v>
      </c>
    </row>
    <row r="176" spans="1:10" x14ac:dyDescent="0.25">
      <c r="A176" t="s">
        <v>271</v>
      </c>
      <c r="B176" t="s">
        <v>268</v>
      </c>
      <c r="C176" t="s">
        <v>90</v>
      </c>
      <c r="D176" t="s">
        <v>51</v>
      </c>
      <c r="E176">
        <v>3</v>
      </c>
      <c r="F176" t="s">
        <v>52</v>
      </c>
      <c r="G176">
        <v>18.02</v>
      </c>
      <c r="H176" t="str" cm="1">
        <f t="array" ref="H176">_xlfn.XLOOKUP(TRIM(C176),_xlfn.ANCHORARRAY($L$5),$M$5:$M$18)</f>
        <v>Moulin du Nord</v>
      </c>
      <c r="I176" t="str">
        <v>Farine</v>
      </c>
      <c r="J176">
        <f t="shared" si="7"/>
        <v>3</v>
      </c>
    </row>
    <row r="177" spans="1:10" x14ac:dyDescent="0.25">
      <c r="A177" t="s">
        <v>272</v>
      </c>
      <c r="B177" t="s">
        <v>268</v>
      </c>
      <c r="C177" t="s">
        <v>195</v>
      </c>
      <c r="D177" t="s">
        <v>55</v>
      </c>
      <c r="E177">
        <v>6</v>
      </c>
      <c r="F177" t="s">
        <v>17</v>
      </c>
      <c r="G177">
        <v>8.7799999999999994</v>
      </c>
      <c r="H177" t="str" cm="1">
        <f t="array" ref="H177">_xlfn.XLOOKUP(TRIM(C177),_xlfn.ANCHORARRAY($L$5),$M$5:$M$18)</f>
        <v>Fromag. Centrale</v>
      </c>
      <c r="I177" t="str">
        <v>Mozzarella</v>
      </c>
      <c r="J177">
        <f t="shared" si="7"/>
        <v>6</v>
      </c>
    </row>
    <row r="178" spans="1:10" x14ac:dyDescent="0.25">
      <c r="A178" t="s">
        <v>273</v>
      </c>
      <c r="B178" t="s">
        <v>274</v>
      </c>
      <c r="C178" t="s">
        <v>97</v>
      </c>
      <c r="D178" t="s">
        <v>10</v>
      </c>
      <c r="E178">
        <v>6</v>
      </c>
      <c r="F178" t="s">
        <v>11</v>
      </c>
      <c r="G178">
        <v>14.06</v>
      </c>
      <c r="H178" t="str" cm="1">
        <f t="array" ref="H178">_xlfn.XLOOKUP(TRIM(C178),_xlfn.ANCHORARRAY($L$5),$M$5:$M$18)</f>
        <v>Metro</v>
      </c>
      <c r="I178" t="str">
        <v>Coca Cola</v>
      </c>
      <c r="J178">
        <f t="shared" si="7"/>
        <v>6</v>
      </c>
    </row>
    <row r="179" spans="1:10" x14ac:dyDescent="0.25">
      <c r="A179" t="s">
        <v>275</v>
      </c>
      <c r="B179" t="s">
        <v>274</v>
      </c>
      <c r="C179" t="s">
        <v>97</v>
      </c>
      <c r="D179" t="s">
        <v>14</v>
      </c>
      <c r="E179">
        <v>4</v>
      </c>
      <c r="F179" t="s">
        <v>11</v>
      </c>
      <c r="G179">
        <v>13.31</v>
      </c>
      <c r="H179" t="str" cm="1">
        <f t="array" ref="H179">_xlfn.XLOOKUP(TRIM(C179),_xlfn.ANCHORARRAY($L$5),$M$5:$M$18)</f>
        <v>Metro</v>
      </c>
      <c r="I179" t="str">
        <v>7up</v>
      </c>
      <c r="J179">
        <f t="shared" si="7"/>
        <v>4</v>
      </c>
    </row>
    <row r="180" spans="1:10" x14ac:dyDescent="0.25">
      <c r="A180" t="s">
        <v>276</v>
      </c>
      <c r="B180" t="s">
        <v>274</v>
      </c>
      <c r="C180" t="s">
        <v>13</v>
      </c>
      <c r="D180" t="s">
        <v>16</v>
      </c>
      <c r="E180">
        <v>5</v>
      </c>
      <c r="F180" t="s">
        <v>17</v>
      </c>
      <c r="G180">
        <v>1.25</v>
      </c>
      <c r="H180" t="str" cm="1">
        <f t="array" ref="H180">_xlfn.XLOOKUP(TRIM(C180),_xlfn.ANCHORARRAY($L$5),$M$5:$M$18)</f>
        <v>Metro</v>
      </c>
      <c r="I180" t="str">
        <v>Sel</v>
      </c>
      <c r="J180">
        <f t="shared" si="7"/>
        <v>5</v>
      </c>
    </row>
    <row r="181" spans="1:10" x14ac:dyDescent="0.25">
      <c r="A181" t="s">
        <v>277</v>
      </c>
      <c r="B181" t="s">
        <v>278</v>
      </c>
      <c r="C181" t="s">
        <v>100</v>
      </c>
      <c r="D181" t="s">
        <v>33</v>
      </c>
      <c r="E181">
        <v>12</v>
      </c>
      <c r="F181" t="s">
        <v>17</v>
      </c>
      <c r="G181">
        <v>10.17</v>
      </c>
      <c r="H181" t="str" cm="1">
        <f t="array" ref="H181">_xlfn.XLOOKUP(TRIM(C181),_xlfn.ANCHORARRAY($L$5),$M$5:$M$18)</f>
        <v>B. Halal Pro</v>
      </c>
      <c r="I181" t="str">
        <v>Viande hachée</v>
      </c>
      <c r="J181">
        <f t="shared" si="7"/>
        <v>12</v>
      </c>
    </row>
    <row r="182" spans="1:10" x14ac:dyDescent="0.25">
      <c r="A182" t="s">
        <v>279</v>
      </c>
      <c r="B182" t="s">
        <v>278</v>
      </c>
      <c r="C182" t="s">
        <v>32</v>
      </c>
      <c r="D182" t="s">
        <v>35</v>
      </c>
      <c r="E182">
        <v>10</v>
      </c>
      <c r="F182" t="s">
        <v>17</v>
      </c>
      <c r="G182">
        <v>7.13</v>
      </c>
      <c r="H182" t="str" cm="1">
        <f t="array" ref="H182">_xlfn.XLOOKUP(TRIM(C182),_xlfn.ANCHORARRAY($L$5),$M$5:$M$18)</f>
        <v>B. Halal Pro</v>
      </c>
      <c r="I182" t="str">
        <v>Poulet émincé</v>
      </c>
      <c r="J182">
        <f t="shared" si="7"/>
        <v>10</v>
      </c>
    </row>
    <row r="183" spans="1:10" x14ac:dyDescent="0.25">
      <c r="A183" t="s">
        <v>280</v>
      </c>
      <c r="B183" t="s">
        <v>278</v>
      </c>
      <c r="C183" t="s">
        <v>69</v>
      </c>
      <c r="D183" t="s">
        <v>38</v>
      </c>
      <c r="E183">
        <v>12</v>
      </c>
      <c r="F183" t="s">
        <v>39</v>
      </c>
      <c r="G183">
        <v>6.01</v>
      </c>
      <c r="H183" t="str" cm="1">
        <f t="array" ref="H183">_xlfn.XLOOKUP(TRIM(C183),_xlfn.ANCHORARRAY($L$5),$M$5:$M$18)</f>
        <v>Boul. Express</v>
      </c>
      <c r="I183" t="str">
        <v>Pain burger</v>
      </c>
      <c r="J183">
        <f t="shared" si="7"/>
        <v>12</v>
      </c>
    </row>
    <row r="184" spans="1:10" x14ac:dyDescent="0.25">
      <c r="A184" t="s">
        <v>281</v>
      </c>
      <c r="B184" t="s">
        <v>278</v>
      </c>
      <c r="C184" t="s">
        <v>41</v>
      </c>
      <c r="D184" t="s">
        <v>42</v>
      </c>
      <c r="E184">
        <v>10</v>
      </c>
      <c r="F184" t="s">
        <v>43</v>
      </c>
      <c r="G184">
        <v>4.03</v>
      </c>
      <c r="H184" t="str" cm="1">
        <f t="array" ref="H184">_xlfn.XLOOKUP(TRIM(C184),_xlfn.ANCHORARRAY($L$5),$M$5:$M$18)</f>
        <v>Boul. Express</v>
      </c>
      <c r="I184" t="str">
        <v>Pain pita</v>
      </c>
      <c r="J184">
        <f t="shared" si="7"/>
        <v>10</v>
      </c>
    </row>
    <row r="185" spans="1:10" x14ac:dyDescent="0.25">
      <c r="A185" t="s">
        <v>282</v>
      </c>
      <c r="B185" t="s">
        <v>283</v>
      </c>
      <c r="C185" t="s">
        <v>154</v>
      </c>
      <c r="D185" t="s">
        <v>55</v>
      </c>
      <c r="E185">
        <v>4</v>
      </c>
      <c r="F185" t="s">
        <v>17</v>
      </c>
      <c r="G185">
        <v>8.5</v>
      </c>
      <c r="H185" t="str" cm="1">
        <f t="array" ref="H185">_xlfn.XLOOKUP(TRIM(C185),_xlfn.ANCHORARRAY($L$5),$M$5:$M$18)</f>
        <v>Fromag. Centrale</v>
      </c>
      <c r="I185" t="str">
        <v>Mozzarella</v>
      </c>
      <c r="J185">
        <f t="shared" si="7"/>
        <v>4</v>
      </c>
    </row>
    <row r="186" spans="1:10" x14ac:dyDescent="0.25">
      <c r="A186" t="s">
        <v>284</v>
      </c>
      <c r="B186" t="s">
        <v>285</v>
      </c>
      <c r="C186" t="s">
        <v>97</v>
      </c>
      <c r="D186" t="s">
        <v>10</v>
      </c>
      <c r="E186">
        <v>3</v>
      </c>
      <c r="F186" t="s">
        <v>11</v>
      </c>
      <c r="G186">
        <v>14.96</v>
      </c>
      <c r="H186" t="str" cm="1">
        <f t="array" ref="H186">_xlfn.XLOOKUP(TRIM(C186),_xlfn.ANCHORARRAY($L$5),$M$5:$M$18)</f>
        <v>Metro</v>
      </c>
      <c r="I186" t="str">
        <v>Coca Cola</v>
      </c>
      <c r="J186">
        <f t="shared" si="7"/>
        <v>3</v>
      </c>
    </row>
    <row r="187" spans="1:10" x14ac:dyDescent="0.25">
      <c r="A187" t="s">
        <v>286</v>
      </c>
      <c r="B187" t="s">
        <v>285</v>
      </c>
      <c r="C187" t="s">
        <v>61</v>
      </c>
      <c r="D187" t="s">
        <v>14</v>
      </c>
      <c r="E187">
        <v>6</v>
      </c>
      <c r="F187" t="s">
        <v>11</v>
      </c>
      <c r="G187">
        <v>13.89</v>
      </c>
      <c r="H187" t="str" cm="1">
        <f t="array" ref="H187">_xlfn.XLOOKUP(TRIM(C187),_xlfn.ANCHORARRAY($L$5),$M$5:$M$18)</f>
        <v>Metro</v>
      </c>
      <c r="I187" t="str">
        <v>7up</v>
      </c>
      <c r="J187">
        <f t="shared" si="7"/>
        <v>6</v>
      </c>
    </row>
    <row r="188" spans="1:10" x14ac:dyDescent="0.25">
      <c r="A188" t="s">
        <v>287</v>
      </c>
      <c r="B188" t="s">
        <v>285</v>
      </c>
      <c r="C188" t="s">
        <v>61</v>
      </c>
      <c r="D188" t="s">
        <v>16</v>
      </c>
      <c r="E188">
        <v>6</v>
      </c>
      <c r="F188" t="s">
        <v>17</v>
      </c>
      <c r="G188">
        <v>1.23</v>
      </c>
      <c r="H188" t="str" cm="1">
        <f t="array" ref="H188">_xlfn.XLOOKUP(TRIM(C188),_xlfn.ANCHORARRAY($L$5),$M$5:$M$18)</f>
        <v>Metro</v>
      </c>
      <c r="I188" t="str">
        <v>Sel</v>
      </c>
      <c r="J188">
        <f t="shared" si="7"/>
        <v>6</v>
      </c>
    </row>
    <row r="189" spans="1:10" x14ac:dyDescent="0.25">
      <c r="A189" t="s">
        <v>288</v>
      </c>
      <c r="B189" t="s">
        <v>285</v>
      </c>
      <c r="C189" t="s">
        <v>27</v>
      </c>
      <c r="D189" t="s">
        <v>20</v>
      </c>
      <c r="E189">
        <v>10</v>
      </c>
      <c r="F189" t="s">
        <v>21</v>
      </c>
      <c r="G189">
        <v>4.25</v>
      </c>
      <c r="H189" t="str" cm="1">
        <f t="array" ref="H189">_xlfn.XLOOKUP(TRIM(C189),_xlfn.ANCHORARRAY($L$5),$M$5:$M$18)</f>
        <v>LEGUMEX</v>
      </c>
      <c r="I189" t="str">
        <v>Tomates pelées</v>
      </c>
      <c r="J189">
        <f t="shared" si="7"/>
        <v>10</v>
      </c>
    </row>
    <row r="190" spans="1:10" x14ac:dyDescent="0.25">
      <c r="A190" t="s">
        <v>289</v>
      </c>
      <c r="B190" t="s">
        <v>285</v>
      </c>
      <c r="C190" t="s">
        <v>27</v>
      </c>
      <c r="D190" t="s">
        <v>24</v>
      </c>
      <c r="E190">
        <v>8</v>
      </c>
      <c r="F190" t="s">
        <v>25</v>
      </c>
      <c r="G190">
        <v>23.35</v>
      </c>
      <c r="H190" t="str" cm="1">
        <f t="array" ref="H190">_xlfn.XLOOKUP(TRIM(C190),_xlfn.ANCHORARRAY($L$5),$M$5:$M$18)</f>
        <v>LEGUMEX</v>
      </c>
      <c r="I190" t="str">
        <v>Huile olive</v>
      </c>
      <c r="J190">
        <f t="shared" si="7"/>
        <v>8</v>
      </c>
    </row>
    <row r="191" spans="1:10" x14ac:dyDescent="0.25">
      <c r="A191" t="s">
        <v>290</v>
      </c>
      <c r="B191" t="s">
        <v>285</v>
      </c>
      <c r="C191" t="s">
        <v>23</v>
      </c>
      <c r="D191" t="s">
        <v>28</v>
      </c>
      <c r="E191">
        <v>10</v>
      </c>
      <c r="F191" t="s">
        <v>29</v>
      </c>
      <c r="G191">
        <v>9.68</v>
      </c>
      <c r="H191" t="str" cm="1">
        <f t="array" ref="H191">_xlfn.XLOOKUP(TRIM(C191),_xlfn.ANCHORARRAY($L$5),$M$5:$M$18)</f>
        <v>LEGUMEX</v>
      </c>
      <c r="I191" t="str">
        <v>Sauce tomate</v>
      </c>
      <c r="J191">
        <f t="shared" si="7"/>
        <v>10</v>
      </c>
    </row>
    <row r="192" spans="1:10" x14ac:dyDescent="0.25">
      <c r="A192" t="s">
        <v>291</v>
      </c>
      <c r="B192" t="s">
        <v>292</v>
      </c>
      <c r="C192" t="s">
        <v>64</v>
      </c>
      <c r="D192" t="s">
        <v>33</v>
      </c>
      <c r="E192">
        <v>8</v>
      </c>
      <c r="F192" t="s">
        <v>17</v>
      </c>
      <c r="G192">
        <v>9.4</v>
      </c>
      <c r="H192" t="str" cm="1">
        <f t="array" ref="H192">_xlfn.XLOOKUP(TRIM(C192),_xlfn.ANCHORARRAY($L$5),$M$5:$M$18)</f>
        <v>B. Halal Pro</v>
      </c>
      <c r="I192" t="str">
        <v>Viande hachée</v>
      </c>
      <c r="J192">
        <f t="shared" si="7"/>
        <v>8</v>
      </c>
    </row>
    <row r="193" spans="1:10" x14ac:dyDescent="0.25">
      <c r="A193" t="s">
        <v>293</v>
      </c>
      <c r="B193" t="s">
        <v>292</v>
      </c>
      <c r="C193" t="s">
        <v>64</v>
      </c>
      <c r="D193" t="s">
        <v>35</v>
      </c>
      <c r="E193">
        <v>10</v>
      </c>
      <c r="F193" t="s">
        <v>17</v>
      </c>
      <c r="G193">
        <v>7.74</v>
      </c>
      <c r="H193" t="str" cm="1">
        <f t="array" ref="H193">_xlfn.XLOOKUP(TRIM(C193),_xlfn.ANCHORARRAY($L$5),$M$5:$M$18)</f>
        <v>B. Halal Pro</v>
      </c>
      <c r="I193" t="str">
        <v>Poulet émincé</v>
      </c>
      <c r="J193">
        <f t="shared" si="7"/>
        <v>10</v>
      </c>
    </row>
    <row r="194" spans="1:10" x14ac:dyDescent="0.25">
      <c r="A194" t="s">
        <v>294</v>
      </c>
      <c r="B194" t="s">
        <v>292</v>
      </c>
      <c r="C194" t="s">
        <v>41</v>
      </c>
      <c r="D194" t="s">
        <v>38</v>
      </c>
      <c r="E194">
        <v>12</v>
      </c>
      <c r="F194" t="s">
        <v>39</v>
      </c>
      <c r="G194">
        <v>5.91</v>
      </c>
      <c r="H194" t="str" cm="1">
        <f t="array" ref="H194">_xlfn.XLOOKUP(TRIM(C194),_xlfn.ANCHORARRAY($L$5),$M$5:$M$18)</f>
        <v>Boul. Express</v>
      </c>
      <c r="I194" t="str">
        <v>Pain burger</v>
      </c>
      <c r="J194">
        <f t="shared" ref="J194:J257" si="8">IF(E194&lt;&gt;0,E194,_xlfn.XLOOKUP(I194,$Q$5:$Q$16,$Y$5:$Y$16))</f>
        <v>12</v>
      </c>
    </row>
    <row r="195" spans="1:10" x14ac:dyDescent="0.25">
      <c r="A195" t="s">
        <v>295</v>
      </c>
      <c r="B195" t="s">
        <v>292</v>
      </c>
      <c r="C195" t="s">
        <v>83</v>
      </c>
      <c r="D195" t="s">
        <v>42</v>
      </c>
      <c r="E195">
        <v>12</v>
      </c>
      <c r="F195" t="s">
        <v>43</v>
      </c>
      <c r="G195">
        <v>3.94</v>
      </c>
      <c r="H195" t="str" cm="1">
        <f t="array" ref="H195">_xlfn.XLOOKUP(TRIM(C195),_xlfn.ANCHORARRAY($L$5),$M$5:$M$18)</f>
        <v>Boul. Express</v>
      </c>
      <c r="I195" t="str">
        <v>Pain pita</v>
      </c>
      <c r="J195">
        <f t="shared" si="8"/>
        <v>12</v>
      </c>
    </row>
    <row r="196" spans="1:10" x14ac:dyDescent="0.25">
      <c r="A196" t="s">
        <v>296</v>
      </c>
      <c r="B196" t="s">
        <v>297</v>
      </c>
      <c r="C196" t="s">
        <v>27</v>
      </c>
      <c r="D196" t="s">
        <v>20</v>
      </c>
      <c r="E196">
        <v>6</v>
      </c>
      <c r="F196" t="s">
        <v>21</v>
      </c>
      <c r="G196">
        <v>4.0999999999999996</v>
      </c>
      <c r="H196" t="str" cm="1">
        <f t="array" ref="H196">_xlfn.XLOOKUP(TRIM(C196),_xlfn.ANCHORARRAY($L$5),$M$5:$M$18)</f>
        <v>LEGUMEX</v>
      </c>
      <c r="I196" t="str">
        <v>Tomates pelées</v>
      </c>
      <c r="J196">
        <f t="shared" si="8"/>
        <v>6</v>
      </c>
    </row>
    <row r="197" spans="1:10" x14ac:dyDescent="0.25">
      <c r="A197" t="s">
        <v>298</v>
      </c>
      <c r="B197" t="s">
        <v>297</v>
      </c>
      <c r="C197" t="s">
        <v>23</v>
      </c>
      <c r="D197" t="s">
        <v>24</v>
      </c>
      <c r="E197">
        <v>10</v>
      </c>
      <c r="F197" t="s">
        <v>25</v>
      </c>
      <c r="G197">
        <v>23.42</v>
      </c>
      <c r="H197" t="str" cm="1">
        <f t="array" ref="H197">_xlfn.XLOOKUP(TRIM(C197),_xlfn.ANCHORARRAY($L$5),$M$5:$M$18)</f>
        <v>LEGUMEX</v>
      </c>
      <c r="I197" t="str">
        <v>Huile olive</v>
      </c>
      <c r="J197">
        <f t="shared" si="8"/>
        <v>10</v>
      </c>
    </row>
    <row r="198" spans="1:10" x14ac:dyDescent="0.25">
      <c r="A198" t="s">
        <v>299</v>
      </c>
      <c r="B198" t="s">
        <v>297</v>
      </c>
      <c r="C198" t="s">
        <v>19</v>
      </c>
      <c r="D198" t="s">
        <v>28</v>
      </c>
      <c r="E198">
        <v>8</v>
      </c>
      <c r="F198" t="s">
        <v>29</v>
      </c>
      <c r="G198">
        <v>10.210000000000001</v>
      </c>
      <c r="H198" t="str" cm="1">
        <f t="array" ref="H198">_xlfn.XLOOKUP(TRIM(C198),_xlfn.ANCHORARRAY($L$5),$M$5:$M$18)</f>
        <v>LEGUMEX</v>
      </c>
      <c r="I198" t="str">
        <v>Sauce tomate</v>
      </c>
      <c r="J198">
        <f t="shared" si="8"/>
        <v>8</v>
      </c>
    </row>
    <row r="199" spans="1:10" x14ac:dyDescent="0.25">
      <c r="A199" t="s">
        <v>300</v>
      </c>
      <c r="B199" t="s">
        <v>297</v>
      </c>
      <c r="C199" t="s">
        <v>50</v>
      </c>
      <c r="D199" t="s">
        <v>51</v>
      </c>
      <c r="E199">
        <v>2</v>
      </c>
      <c r="F199" t="s">
        <v>52</v>
      </c>
      <c r="G199">
        <v>17.920000000000002</v>
      </c>
      <c r="H199" t="str" cm="1">
        <f t="array" ref="H199">_xlfn.XLOOKUP(TRIM(C199),_xlfn.ANCHORARRAY($L$5),$M$5:$M$18)</f>
        <v>Moulin du Nord</v>
      </c>
      <c r="I199" t="str">
        <v>Farine</v>
      </c>
      <c r="J199">
        <f t="shared" si="8"/>
        <v>2</v>
      </c>
    </row>
    <row r="200" spans="1:10" x14ac:dyDescent="0.25">
      <c r="A200" t="s">
        <v>301</v>
      </c>
      <c r="B200" t="s">
        <v>297</v>
      </c>
      <c r="C200" t="s">
        <v>154</v>
      </c>
      <c r="D200" t="s">
        <v>55</v>
      </c>
      <c r="E200">
        <v>6</v>
      </c>
      <c r="F200" t="s">
        <v>17</v>
      </c>
      <c r="G200">
        <v>9.2899999999999991</v>
      </c>
      <c r="H200" t="str" cm="1">
        <f t="array" ref="H200">_xlfn.XLOOKUP(TRIM(C200),_xlfn.ANCHORARRAY($L$5),$M$5:$M$18)</f>
        <v>Fromag. Centrale</v>
      </c>
      <c r="I200" t="str">
        <v>Mozzarella</v>
      </c>
      <c r="J200">
        <f t="shared" si="8"/>
        <v>6</v>
      </c>
    </row>
    <row r="201" spans="1:10" x14ac:dyDescent="0.25">
      <c r="A201" t="s">
        <v>302</v>
      </c>
      <c r="B201" t="s">
        <v>303</v>
      </c>
      <c r="C201" t="s">
        <v>97</v>
      </c>
      <c r="D201" t="s">
        <v>10</v>
      </c>
      <c r="E201">
        <v>5</v>
      </c>
      <c r="F201" t="s">
        <v>11</v>
      </c>
      <c r="G201">
        <v>14.51</v>
      </c>
      <c r="H201" t="str" cm="1">
        <f t="array" ref="H201">_xlfn.XLOOKUP(TRIM(C201),_xlfn.ANCHORARRAY($L$5),$M$5:$M$18)</f>
        <v>Metro</v>
      </c>
      <c r="I201" t="str">
        <v>Coca Cola</v>
      </c>
      <c r="J201">
        <f t="shared" si="8"/>
        <v>5</v>
      </c>
    </row>
    <row r="202" spans="1:10" x14ac:dyDescent="0.25">
      <c r="A202" t="s">
        <v>304</v>
      </c>
      <c r="B202" t="s">
        <v>303</v>
      </c>
      <c r="C202" t="s">
        <v>59</v>
      </c>
      <c r="D202" t="s">
        <v>14</v>
      </c>
      <c r="E202">
        <v>4</v>
      </c>
      <c r="F202" t="s">
        <v>11</v>
      </c>
      <c r="G202">
        <v>13.35</v>
      </c>
      <c r="H202" t="str" cm="1">
        <f t="array" ref="H202">_xlfn.XLOOKUP(TRIM(C202),_xlfn.ANCHORARRAY($L$5),$M$5:$M$18)</f>
        <v>Metro</v>
      </c>
      <c r="I202" t="str">
        <v>7up</v>
      </c>
      <c r="J202">
        <f t="shared" si="8"/>
        <v>4</v>
      </c>
    </row>
    <row r="203" spans="1:10" x14ac:dyDescent="0.25">
      <c r="A203" t="s">
        <v>305</v>
      </c>
      <c r="B203" t="s">
        <v>303</v>
      </c>
      <c r="C203" t="s">
        <v>13</v>
      </c>
      <c r="D203" t="s">
        <v>16</v>
      </c>
      <c r="E203">
        <v>4</v>
      </c>
      <c r="F203" t="s">
        <v>17</v>
      </c>
      <c r="G203">
        <v>1.26</v>
      </c>
      <c r="H203" t="str" cm="1">
        <f t="array" ref="H203">_xlfn.XLOOKUP(TRIM(C203),_xlfn.ANCHORARRAY($L$5),$M$5:$M$18)</f>
        <v>Metro</v>
      </c>
      <c r="I203" t="str">
        <v>Sel</v>
      </c>
      <c r="J203">
        <f t="shared" si="8"/>
        <v>4</v>
      </c>
    </row>
    <row r="204" spans="1:10" x14ac:dyDescent="0.25">
      <c r="A204" t="s">
        <v>306</v>
      </c>
      <c r="B204" t="s">
        <v>307</v>
      </c>
      <c r="C204" t="s">
        <v>66</v>
      </c>
      <c r="D204" t="s">
        <v>33</v>
      </c>
      <c r="E204">
        <v>12</v>
      </c>
      <c r="F204" t="s">
        <v>17</v>
      </c>
      <c r="G204">
        <v>9.1300000000000008</v>
      </c>
      <c r="H204" t="str" cm="1">
        <f t="array" ref="H204">_xlfn.XLOOKUP(TRIM(C204),_xlfn.ANCHORARRAY($L$5),$M$5:$M$18)</f>
        <v>B. Halal Pro</v>
      </c>
      <c r="I204" t="str">
        <v>Viande hachée</v>
      </c>
      <c r="J204">
        <f t="shared" si="8"/>
        <v>12</v>
      </c>
    </row>
    <row r="205" spans="1:10" x14ac:dyDescent="0.25">
      <c r="A205" t="s">
        <v>308</v>
      </c>
      <c r="B205" t="s">
        <v>307</v>
      </c>
      <c r="C205" t="s">
        <v>64</v>
      </c>
      <c r="D205" t="s">
        <v>35</v>
      </c>
      <c r="E205">
        <v>8</v>
      </c>
      <c r="F205" t="s">
        <v>17</v>
      </c>
      <c r="G205">
        <v>6.95</v>
      </c>
      <c r="H205" t="str" cm="1">
        <f t="array" ref="H205">_xlfn.XLOOKUP(TRIM(C205),_xlfn.ANCHORARRAY($L$5),$M$5:$M$18)</f>
        <v>B. Halal Pro</v>
      </c>
      <c r="I205" t="str">
        <v>Poulet émincé</v>
      </c>
      <c r="J205">
        <f t="shared" si="8"/>
        <v>8</v>
      </c>
    </row>
    <row r="206" spans="1:10" x14ac:dyDescent="0.25">
      <c r="A206" t="s">
        <v>309</v>
      </c>
      <c r="B206" t="s">
        <v>307</v>
      </c>
      <c r="C206" t="s">
        <v>69</v>
      </c>
      <c r="D206" t="s">
        <v>38</v>
      </c>
      <c r="E206">
        <v>12</v>
      </c>
      <c r="F206" t="s">
        <v>39</v>
      </c>
      <c r="G206">
        <v>5.99</v>
      </c>
      <c r="H206" t="str" cm="1">
        <f t="array" ref="H206">_xlfn.XLOOKUP(TRIM(C206),_xlfn.ANCHORARRAY($L$5),$M$5:$M$18)</f>
        <v>Boul. Express</v>
      </c>
      <c r="I206" t="str">
        <v>Pain burger</v>
      </c>
      <c r="J206">
        <f t="shared" si="8"/>
        <v>12</v>
      </c>
    </row>
    <row r="207" spans="1:10" x14ac:dyDescent="0.25">
      <c r="A207" t="s">
        <v>310</v>
      </c>
      <c r="B207" t="s">
        <v>307</v>
      </c>
      <c r="C207" t="s">
        <v>37</v>
      </c>
      <c r="D207" t="s">
        <v>42</v>
      </c>
      <c r="E207">
        <v>12</v>
      </c>
      <c r="F207" t="s">
        <v>43</v>
      </c>
      <c r="G207">
        <v>3.9</v>
      </c>
      <c r="H207" t="str" cm="1">
        <f t="array" ref="H207">_xlfn.XLOOKUP(TRIM(C207),_xlfn.ANCHORARRAY($L$5),$M$5:$M$18)</f>
        <v>Boul. Express</v>
      </c>
      <c r="I207" t="str">
        <v>Pain pita</v>
      </c>
      <c r="J207">
        <f t="shared" si="8"/>
        <v>12</v>
      </c>
    </row>
    <row r="208" spans="1:10" x14ac:dyDescent="0.25">
      <c r="A208" t="s">
        <v>311</v>
      </c>
      <c r="B208" t="s">
        <v>312</v>
      </c>
      <c r="C208" t="s">
        <v>54</v>
      </c>
      <c r="D208" t="s">
        <v>55</v>
      </c>
      <c r="E208">
        <v>6</v>
      </c>
      <c r="F208" t="s">
        <v>17</v>
      </c>
      <c r="G208">
        <v>9.6</v>
      </c>
      <c r="H208" t="str" cm="1">
        <f t="array" ref="H208">_xlfn.XLOOKUP(TRIM(C208),_xlfn.ANCHORARRAY($L$5),$M$5:$M$18)</f>
        <v>Fromag. Centrale</v>
      </c>
      <c r="I208" t="str">
        <v>Mozzarella</v>
      </c>
      <c r="J208">
        <f t="shared" si="8"/>
        <v>6</v>
      </c>
    </row>
    <row r="209" spans="1:10" x14ac:dyDescent="0.25">
      <c r="A209" t="s">
        <v>313</v>
      </c>
      <c r="B209" t="s">
        <v>314</v>
      </c>
      <c r="C209" t="s">
        <v>13</v>
      </c>
      <c r="D209" t="s">
        <v>10</v>
      </c>
      <c r="E209">
        <v>6</v>
      </c>
      <c r="F209" t="s">
        <v>11</v>
      </c>
      <c r="G209">
        <v>14.02</v>
      </c>
      <c r="H209" t="str" cm="1">
        <f t="array" ref="H209">_xlfn.XLOOKUP(TRIM(C209),_xlfn.ANCHORARRAY($L$5),$M$5:$M$18)</f>
        <v>Metro</v>
      </c>
      <c r="I209" t="str">
        <v>Coca Cola</v>
      </c>
      <c r="J209">
        <f t="shared" si="8"/>
        <v>6</v>
      </c>
    </row>
    <row r="210" spans="1:10" x14ac:dyDescent="0.25">
      <c r="A210" t="s">
        <v>315</v>
      </c>
      <c r="B210" t="s">
        <v>314</v>
      </c>
      <c r="C210" t="s">
        <v>59</v>
      </c>
      <c r="D210" t="s">
        <v>14</v>
      </c>
      <c r="E210">
        <v>6</v>
      </c>
      <c r="F210" t="s">
        <v>11</v>
      </c>
      <c r="G210">
        <v>13.98</v>
      </c>
      <c r="H210" t="str" cm="1">
        <f t="array" ref="H210">_xlfn.XLOOKUP(TRIM(C210),_xlfn.ANCHORARRAY($L$5),$M$5:$M$18)</f>
        <v>Metro</v>
      </c>
      <c r="I210" t="str">
        <v>7up</v>
      </c>
      <c r="J210">
        <f t="shared" si="8"/>
        <v>6</v>
      </c>
    </row>
    <row r="211" spans="1:10" x14ac:dyDescent="0.25">
      <c r="A211" t="s">
        <v>316</v>
      </c>
      <c r="B211" t="s">
        <v>314</v>
      </c>
      <c r="C211" t="s">
        <v>13</v>
      </c>
      <c r="D211" t="s">
        <v>16</v>
      </c>
      <c r="E211">
        <v>6</v>
      </c>
      <c r="F211" t="s">
        <v>17</v>
      </c>
      <c r="G211">
        <v>1.27</v>
      </c>
      <c r="H211" t="str" cm="1">
        <f t="array" ref="H211">_xlfn.XLOOKUP(TRIM(C211),_xlfn.ANCHORARRAY($L$5),$M$5:$M$18)</f>
        <v>Metro</v>
      </c>
      <c r="I211" t="str">
        <v>Sel</v>
      </c>
      <c r="J211">
        <f t="shared" si="8"/>
        <v>6</v>
      </c>
    </row>
    <row r="212" spans="1:10" x14ac:dyDescent="0.25">
      <c r="A212" t="s">
        <v>317</v>
      </c>
      <c r="B212" t="s">
        <v>314</v>
      </c>
      <c r="C212" t="s">
        <v>46</v>
      </c>
      <c r="D212" t="s">
        <v>20</v>
      </c>
      <c r="E212">
        <v>10</v>
      </c>
      <c r="F212" t="s">
        <v>21</v>
      </c>
      <c r="G212">
        <v>4.46</v>
      </c>
      <c r="H212" t="str" cm="1">
        <f t="array" ref="H212">_xlfn.XLOOKUP(TRIM(C212),_xlfn.ANCHORARRAY($L$5),$M$5:$M$18)</f>
        <v>LEGUMEX</v>
      </c>
      <c r="I212" t="str">
        <v>Tomates pelées</v>
      </c>
      <c r="J212">
        <f t="shared" si="8"/>
        <v>10</v>
      </c>
    </row>
    <row r="213" spans="1:10" x14ac:dyDescent="0.25">
      <c r="A213" t="s">
        <v>318</v>
      </c>
      <c r="B213" t="s">
        <v>314</v>
      </c>
      <c r="C213" t="s">
        <v>23</v>
      </c>
      <c r="D213" t="s">
        <v>24</v>
      </c>
      <c r="E213">
        <v>6</v>
      </c>
      <c r="F213" t="s">
        <v>25</v>
      </c>
      <c r="G213">
        <v>20.94</v>
      </c>
      <c r="H213" t="str" cm="1">
        <f t="array" ref="H213">_xlfn.XLOOKUP(TRIM(C213),_xlfn.ANCHORARRAY($L$5),$M$5:$M$18)</f>
        <v>LEGUMEX</v>
      </c>
      <c r="I213" t="str">
        <v>Huile olive</v>
      </c>
      <c r="J213">
        <f t="shared" si="8"/>
        <v>6</v>
      </c>
    </row>
    <row r="214" spans="1:10" x14ac:dyDescent="0.25">
      <c r="A214" t="s">
        <v>319</v>
      </c>
      <c r="B214" t="s">
        <v>314</v>
      </c>
      <c r="C214" t="s">
        <v>19</v>
      </c>
      <c r="D214" t="s">
        <v>28</v>
      </c>
      <c r="E214">
        <v>8</v>
      </c>
      <c r="F214" t="s">
        <v>29</v>
      </c>
      <c r="G214">
        <v>9.41</v>
      </c>
      <c r="H214" t="str" cm="1">
        <f t="array" ref="H214">_xlfn.XLOOKUP(TRIM(C214),_xlfn.ANCHORARRAY($L$5),$M$5:$M$18)</f>
        <v>LEGUMEX</v>
      </c>
      <c r="I214" t="str">
        <v>Sauce tomate</v>
      </c>
      <c r="J214">
        <f t="shared" si="8"/>
        <v>8</v>
      </c>
    </row>
    <row r="215" spans="1:10" x14ac:dyDescent="0.25">
      <c r="A215" t="s">
        <v>320</v>
      </c>
      <c r="B215" t="s">
        <v>321</v>
      </c>
      <c r="C215" t="s">
        <v>66</v>
      </c>
      <c r="D215" t="s">
        <v>33</v>
      </c>
      <c r="E215">
        <v>8</v>
      </c>
      <c r="F215" t="s">
        <v>17</v>
      </c>
      <c r="G215">
        <v>9.84</v>
      </c>
      <c r="H215" t="str" cm="1">
        <f t="array" ref="H215">_xlfn.XLOOKUP(TRIM(C215),_xlfn.ANCHORARRAY($L$5),$M$5:$M$18)</f>
        <v>B. Halal Pro</v>
      </c>
      <c r="I215" t="str">
        <v>Viande hachée</v>
      </c>
      <c r="J215">
        <f t="shared" si="8"/>
        <v>8</v>
      </c>
    </row>
    <row r="216" spans="1:10" x14ac:dyDescent="0.25">
      <c r="A216" t="s">
        <v>322</v>
      </c>
      <c r="B216" t="s">
        <v>321</v>
      </c>
      <c r="C216" t="s">
        <v>66</v>
      </c>
      <c r="D216" t="s">
        <v>35</v>
      </c>
      <c r="E216">
        <v>10</v>
      </c>
      <c r="F216" t="s">
        <v>17</v>
      </c>
      <c r="G216">
        <v>7.72</v>
      </c>
      <c r="H216" t="str" cm="1">
        <f t="array" ref="H216">_xlfn.XLOOKUP(TRIM(C216),_xlfn.ANCHORARRAY($L$5),$M$5:$M$18)</f>
        <v>B. Halal Pro</v>
      </c>
      <c r="I216" t="str">
        <v>Poulet émincé</v>
      </c>
      <c r="J216">
        <f t="shared" si="8"/>
        <v>10</v>
      </c>
    </row>
    <row r="217" spans="1:10" x14ac:dyDescent="0.25">
      <c r="A217" t="s">
        <v>323</v>
      </c>
      <c r="B217" t="s">
        <v>321</v>
      </c>
      <c r="C217" t="s">
        <v>41</v>
      </c>
      <c r="D217" t="s">
        <v>38</v>
      </c>
      <c r="E217">
        <v>8</v>
      </c>
      <c r="F217" t="s">
        <v>39</v>
      </c>
      <c r="G217">
        <v>5.9</v>
      </c>
      <c r="H217" t="str" cm="1">
        <f t="array" ref="H217">_xlfn.XLOOKUP(TRIM(C217),_xlfn.ANCHORARRAY($L$5),$M$5:$M$18)</f>
        <v>Boul. Express</v>
      </c>
      <c r="I217" t="str">
        <v>Pain burger</v>
      </c>
      <c r="J217">
        <f t="shared" si="8"/>
        <v>8</v>
      </c>
    </row>
    <row r="218" spans="1:10" x14ac:dyDescent="0.25">
      <c r="A218" t="s">
        <v>324</v>
      </c>
      <c r="B218" t="s">
        <v>321</v>
      </c>
      <c r="C218" t="s">
        <v>37</v>
      </c>
      <c r="D218" t="s">
        <v>42</v>
      </c>
      <c r="E218">
        <v>5</v>
      </c>
      <c r="F218" t="s">
        <v>43</v>
      </c>
      <c r="G218">
        <v>4.0599999999999996</v>
      </c>
      <c r="H218" t="str" cm="1">
        <f t="array" ref="H218">_xlfn.XLOOKUP(TRIM(C218),_xlfn.ANCHORARRAY($L$5),$M$5:$M$18)</f>
        <v>Boul. Express</v>
      </c>
      <c r="I218" t="str">
        <v>Pain pita</v>
      </c>
      <c r="J218">
        <f t="shared" si="8"/>
        <v>5</v>
      </c>
    </row>
    <row r="219" spans="1:10" x14ac:dyDescent="0.25">
      <c r="A219" t="s">
        <v>325</v>
      </c>
      <c r="B219" t="s">
        <v>326</v>
      </c>
      <c r="C219" t="s">
        <v>27</v>
      </c>
      <c r="D219" t="s">
        <v>20</v>
      </c>
      <c r="E219">
        <v>4</v>
      </c>
      <c r="F219" t="s">
        <v>21</v>
      </c>
      <c r="G219">
        <v>4.41</v>
      </c>
      <c r="H219" t="str" cm="1">
        <f t="array" ref="H219">_xlfn.XLOOKUP(TRIM(C219),_xlfn.ANCHORARRAY($L$5),$M$5:$M$18)</f>
        <v>LEGUMEX</v>
      </c>
      <c r="I219" t="str">
        <v>Tomates pelées</v>
      </c>
      <c r="J219">
        <f t="shared" si="8"/>
        <v>4</v>
      </c>
    </row>
    <row r="220" spans="1:10" x14ac:dyDescent="0.25">
      <c r="A220" t="s">
        <v>327</v>
      </c>
      <c r="B220" t="s">
        <v>326</v>
      </c>
      <c r="C220" t="s">
        <v>46</v>
      </c>
      <c r="D220" t="s">
        <v>24</v>
      </c>
      <c r="E220">
        <v>4</v>
      </c>
      <c r="F220" t="s">
        <v>25</v>
      </c>
      <c r="G220">
        <v>23.48</v>
      </c>
      <c r="H220" t="str" cm="1">
        <f t="array" ref="H220">_xlfn.XLOOKUP(TRIM(C220),_xlfn.ANCHORARRAY($L$5),$M$5:$M$18)</f>
        <v>LEGUMEX</v>
      </c>
      <c r="I220" t="str">
        <v>Huile olive</v>
      </c>
      <c r="J220">
        <f t="shared" si="8"/>
        <v>4</v>
      </c>
    </row>
    <row r="221" spans="1:10" x14ac:dyDescent="0.25">
      <c r="A221" t="s">
        <v>328</v>
      </c>
      <c r="B221" t="s">
        <v>326</v>
      </c>
      <c r="C221" t="s">
        <v>27</v>
      </c>
      <c r="D221" t="s">
        <v>28</v>
      </c>
      <c r="E221">
        <v>8</v>
      </c>
      <c r="F221" t="s">
        <v>29</v>
      </c>
      <c r="G221">
        <v>9.68</v>
      </c>
      <c r="H221" t="str" cm="1">
        <f t="array" ref="H221">_xlfn.XLOOKUP(TRIM(C221),_xlfn.ANCHORARRAY($L$5),$M$5:$M$18)</f>
        <v>LEGUMEX</v>
      </c>
      <c r="I221" t="str">
        <v>Sauce tomate</v>
      </c>
      <c r="J221">
        <f t="shared" si="8"/>
        <v>8</v>
      </c>
    </row>
    <row r="222" spans="1:10" x14ac:dyDescent="0.25">
      <c r="A222" t="s">
        <v>329</v>
      </c>
      <c r="B222" t="s">
        <v>326</v>
      </c>
      <c r="C222" t="s">
        <v>152</v>
      </c>
      <c r="D222" t="s">
        <v>51</v>
      </c>
      <c r="E222">
        <v>4</v>
      </c>
      <c r="F222" t="s">
        <v>52</v>
      </c>
      <c r="G222">
        <v>18.64</v>
      </c>
      <c r="H222" t="str" cm="1">
        <f t="array" ref="H222">_xlfn.XLOOKUP(TRIM(C222),_xlfn.ANCHORARRAY($L$5),$M$5:$M$18)</f>
        <v>Moulin du Nord</v>
      </c>
      <c r="I222" t="str">
        <v>Farine</v>
      </c>
      <c r="J222">
        <f t="shared" si="8"/>
        <v>4</v>
      </c>
    </row>
    <row r="223" spans="1:10" x14ac:dyDescent="0.25">
      <c r="A223" t="s">
        <v>330</v>
      </c>
      <c r="B223" t="s">
        <v>326</v>
      </c>
      <c r="C223" t="s">
        <v>92</v>
      </c>
      <c r="D223" t="s">
        <v>55</v>
      </c>
      <c r="E223">
        <v>4</v>
      </c>
      <c r="F223" t="s">
        <v>17</v>
      </c>
      <c r="G223">
        <v>8.61</v>
      </c>
      <c r="H223" t="str" cm="1">
        <f t="array" ref="H223">_xlfn.XLOOKUP(TRIM(C223),_xlfn.ANCHORARRAY($L$5),$M$5:$M$18)</f>
        <v>Fromag. Centrale</v>
      </c>
      <c r="I223" t="str">
        <v>Mozzarella</v>
      </c>
      <c r="J223">
        <f t="shared" si="8"/>
        <v>4</v>
      </c>
    </row>
    <row r="224" spans="1:10" x14ac:dyDescent="0.25">
      <c r="A224" t="s">
        <v>331</v>
      </c>
      <c r="B224" t="s">
        <v>332</v>
      </c>
      <c r="C224" t="s">
        <v>59</v>
      </c>
      <c r="D224" t="s">
        <v>10</v>
      </c>
      <c r="E224">
        <v>4</v>
      </c>
      <c r="F224" t="s">
        <v>11</v>
      </c>
      <c r="G224">
        <v>14.61</v>
      </c>
      <c r="H224" t="str" cm="1">
        <f t="array" ref="H224">_xlfn.XLOOKUP(TRIM(C224),_xlfn.ANCHORARRAY($L$5),$M$5:$M$18)</f>
        <v>Metro</v>
      </c>
      <c r="I224" t="str">
        <v>Coca Cola</v>
      </c>
      <c r="J224">
        <f t="shared" si="8"/>
        <v>4</v>
      </c>
    </row>
    <row r="225" spans="1:10" x14ac:dyDescent="0.25">
      <c r="A225" t="s">
        <v>333</v>
      </c>
      <c r="B225" t="s">
        <v>332</v>
      </c>
      <c r="C225" t="s">
        <v>13</v>
      </c>
      <c r="D225" t="s">
        <v>14</v>
      </c>
      <c r="E225">
        <v>6</v>
      </c>
      <c r="F225" t="s">
        <v>11</v>
      </c>
      <c r="G225">
        <v>13.56</v>
      </c>
      <c r="H225" t="str" cm="1">
        <f t="array" ref="H225">_xlfn.XLOOKUP(TRIM(C225),_xlfn.ANCHORARRAY($L$5),$M$5:$M$18)</f>
        <v>Metro</v>
      </c>
      <c r="I225" t="str">
        <v>7up</v>
      </c>
      <c r="J225">
        <f t="shared" si="8"/>
        <v>6</v>
      </c>
    </row>
    <row r="226" spans="1:10" x14ac:dyDescent="0.25">
      <c r="A226" t="s">
        <v>334</v>
      </c>
      <c r="B226" t="s">
        <v>332</v>
      </c>
      <c r="C226" t="s">
        <v>9</v>
      </c>
      <c r="D226" t="s">
        <v>16</v>
      </c>
      <c r="E226">
        <v>6</v>
      </c>
      <c r="F226" t="s">
        <v>17</v>
      </c>
      <c r="G226">
        <v>1.26</v>
      </c>
      <c r="H226" t="str" cm="1">
        <f t="array" ref="H226">_xlfn.XLOOKUP(TRIM(C226),_xlfn.ANCHORARRAY($L$5),$M$5:$M$18)</f>
        <v>Metro</v>
      </c>
      <c r="I226" t="str">
        <v>Sel</v>
      </c>
      <c r="J226">
        <f t="shared" si="8"/>
        <v>6</v>
      </c>
    </row>
    <row r="227" spans="1:10" x14ac:dyDescent="0.25">
      <c r="A227" t="s">
        <v>335</v>
      </c>
      <c r="B227" t="s">
        <v>336</v>
      </c>
      <c r="C227" t="s">
        <v>100</v>
      </c>
      <c r="D227" t="s">
        <v>33</v>
      </c>
      <c r="E227">
        <v>8</v>
      </c>
      <c r="F227" t="s">
        <v>17</v>
      </c>
      <c r="G227">
        <v>8.5299999999999994</v>
      </c>
      <c r="H227" t="str" cm="1">
        <f t="array" ref="H227">_xlfn.XLOOKUP(TRIM(C227),_xlfn.ANCHORARRAY($L$5),$M$5:$M$18)</f>
        <v>B. Halal Pro</v>
      </c>
      <c r="I227" t="str">
        <v>Viande hachée</v>
      </c>
      <c r="J227">
        <f t="shared" si="8"/>
        <v>8</v>
      </c>
    </row>
    <row r="228" spans="1:10" x14ac:dyDescent="0.25">
      <c r="A228" t="s">
        <v>337</v>
      </c>
      <c r="B228" t="s">
        <v>336</v>
      </c>
      <c r="C228" t="s">
        <v>32</v>
      </c>
      <c r="D228" t="s">
        <v>35</v>
      </c>
      <c r="E228">
        <v>10</v>
      </c>
      <c r="F228" t="s">
        <v>17</v>
      </c>
      <c r="G228">
        <v>7.36</v>
      </c>
      <c r="H228" t="str" cm="1">
        <f t="array" ref="H228">_xlfn.XLOOKUP(TRIM(C228),_xlfn.ANCHORARRAY($L$5),$M$5:$M$18)</f>
        <v>B. Halal Pro</v>
      </c>
      <c r="I228" t="str">
        <v>Poulet émincé</v>
      </c>
      <c r="J228">
        <f t="shared" si="8"/>
        <v>10</v>
      </c>
    </row>
    <row r="229" spans="1:10" x14ac:dyDescent="0.25">
      <c r="A229" t="s">
        <v>338</v>
      </c>
      <c r="B229" t="s">
        <v>336</v>
      </c>
      <c r="C229" t="s">
        <v>69</v>
      </c>
      <c r="D229" t="s">
        <v>38</v>
      </c>
      <c r="E229">
        <v>8</v>
      </c>
      <c r="F229" t="s">
        <v>39</v>
      </c>
      <c r="G229">
        <v>5.98</v>
      </c>
      <c r="H229" t="str" cm="1">
        <f t="array" ref="H229">_xlfn.XLOOKUP(TRIM(C229),_xlfn.ANCHORARRAY($L$5),$M$5:$M$18)</f>
        <v>Boul. Express</v>
      </c>
      <c r="I229" t="str">
        <v>Pain burger</v>
      </c>
      <c r="J229">
        <f t="shared" si="8"/>
        <v>8</v>
      </c>
    </row>
    <row r="230" spans="1:10" x14ac:dyDescent="0.25">
      <c r="A230" t="s">
        <v>339</v>
      </c>
      <c r="B230" t="s">
        <v>336</v>
      </c>
      <c r="C230" t="s">
        <v>69</v>
      </c>
      <c r="D230" t="s">
        <v>42</v>
      </c>
      <c r="E230">
        <v>12</v>
      </c>
      <c r="F230" t="s">
        <v>43</v>
      </c>
      <c r="G230">
        <v>3.85</v>
      </c>
      <c r="H230" t="str" cm="1">
        <f t="array" ref="H230">_xlfn.XLOOKUP(TRIM(C230),_xlfn.ANCHORARRAY($L$5),$M$5:$M$18)</f>
        <v>Boul. Express</v>
      </c>
      <c r="I230" t="str">
        <v>Pain pita</v>
      </c>
      <c r="J230">
        <f t="shared" si="8"/>
        <v>12</v>
      </c>
    </row>
    <row r="231" spans="1:10" x14ac:dyDescent="0.25">
      <c r="A231" t="s">
        <v>340</v>
      </c>
      <c r="B231" t="s">
        <v>341</v>
      </c>
      <c r="C231" t="s">
        <v>54</v>
      </c>
      <c r="D231" t="s">
        <v>55</v>
      </c>
      <c r="F231" t="s">
        <v>17</v>
      </c>
      <c r="G231">
        <v>9.7799999999999994</v>
      </c>
      <c r="H231" t="str" cm="1">
        <f t="array" ref="H231">_xlfn.XLOOKUP(TRIM(C231),_xlfn.ANCHORARRAY($L$5),$M$5:$M$18)</f>
        <v>Fromag. Centrale</v>
      </c>
      <c r="I231" t="str">
        <v>Mozzarella</v>
      </c>
      <c r="J231">
        <f t="shared" si="8"/>
        <v>10</v>
      </c>
    </row>
    <row r="232" spans="1:10" x14ac:dyDescent="0.25">
      <c r="A232" t="s">
        <v>342</v>
      </c>
      <c r="B232" t="s">
        <v>343</v>
      </c>
      <c r="C232" t="s">
        <v>59</v>
      </c>
      <c r="D232" t="s">
        <v>10</v>
      </c>
      <c r="E232">
        <v>5</v>
      </c>
      <c r="F232" t="s">
        <v>11</v>
      </c>
      <c r="G232">
        <v>13.98</v>
      </c>
      <c r="H232" t="str" cm="1">
        <f t="array" ref="H232">_xlfn.XLOOKUP(TRIM(C232),_xlfn.ANCHORARRAY($L$5),$M$5:$M$18)</f>
        <v>Metro</v>
      </c>
      <c r="I232" t="str">
        <v>Coca Cola</v>
      </c>
      <c r="J232">
        <f t="shared" si="8"/>
        <v>5</v>
      </c>
    </row>
    <row r="233" spans="1:10" x14ac:dyDescent="0.25">
      <c r="A233" t="s">
        <v>344</v>
      </c>
      <c r="B233" t="s">
        <v>343</v>
      </c>
      <c r="C233" t="s">
        <v>9</v>
      </c>
      <c r="D233" t="s">
        <v>14</v>
      </c>
      <c r="E233">
        <v>6</v>
      </c>
      <c r="F233" t="s">
        <v>11</v>
      </c>
      <c r="G233">
        <v>13.79</v>
      </c>
      <c r="H233" t="str" cm="1">
        <f t="array" ref="H233">_xlfn.XLOOKUP(TRIM(C233),_xlfn.ANCHORARRAY($L$5),$M$5:$M$18)</f>
        <v>Metro</v>
      </c>
      <c r="I233" t="str">
        <v>7up</v>
      </c>
      <c r="J233">
        <f t="shared" si="8"/>
        <v>6</v>
      </c>
    </row>
    <row r="234" spans="1:10" x14ac:dyDescent="0.25">
      <c r="A234" t="s">
        <v>345</v>
      </c>
      <c r="B234" t="s">
        <v>343</v>
      </c>
      <c r="C234" t="s">
        <v>13</v>
      </c>
      <c r="D234" t="s">
        <v>16</v>
      </c>
      <c r="E234">
        <v>5</v>
      </c>
      <c r="F234" t="s">
        <v>17</v>
      </c>
      <c r="G234">
        <v>1.19</v>
      </c>
      <c r="H234" t="str" cm="1">
        <f t="array" ref="H234">_xlfn.XLOOKUP(TRIM(C234),_xlfn.ANCHORARRAY($L$5),$M$5:$M$18)</f>
        <v>Metro</v>
      </c>
      <c r="I234" t="str">
        <v>Sel</v>
      </c>
      <c r="J234">
        <f t="shared" si="8"/>
        <v>5</v>
      </c>
    </row>
    <row r="235" spans="1:10" x14ac:dyDescent="0.25">
      <c r="A235" t="s">
        <v>346</v>
      </c>
      <c r="B235" t="s">
        <v>343</v>
      </c>
      <c r="C235" t="s">
        <v>46</v>
      </c>
      <c r="D235" t="s">
        <v>20</v>
      </c>
      <c r="E235">
        <v>6</v>
      </c>
      <c r="F235" t="s">
        <v>21</v>
      </c>
      <c r="G235">
        <v>4.3600000000000003</v>
      </c>
      <c r="H235" t="str" cm="1">
        <f t="array" ref="H235">_xlfn.XLOOKUP(TRIM(C235),_xlfn.ANCHORARRAY($L$5),$M$5:$M$18)</f>
        <v>LEGUMEX</v>
      </c>
      <c r="I235" t="str">
        <v>Tomates pelées</v>
      </c>
      <c r="J235">
        <f t="shared" si="8"/>
        <v>6</v>
      </c>
    </row>
    <row r="236" spans="1:10" x14ac:dyDescent="0.25">
      <c r="A236" t="s">
        <v>347</v>
      </c>
      <c r="B236" t="s">
        <v>343</v>
      </c>
      <c r="C236" t="s">
        <v>27</v>
      </c>
      <c r="D236" t="s">
        <v>24</v>
      </c>
      <c r="E236">
        <v>10</v>
      </c>
      <c r="F236" t="s">
        <v>25</v>
      </c>
      <c r="G236">
        <v>21.78</v>
      </c>
      <c r="H236" t="str" cm="1">
        <f t="array" ref="H236">_xlfn.XLOOKUP(TRIM(C236),_xlfn.ANCHORARRAY($L$5),$M$5:$M$18)</f>
        <v>LEGUMEX</v>
      </c>
      <c r="I236" t="str">
        <v>Huile olive</v>
      </c>
      <c r="J236">
        <f t="shared" si="8"/>
        <v>10</v>
      </c>
    </row>
    <row r="237" spans="1:10" x14ac:dyDescent="0.25">
      <c r="A237" t="s">
        <v>348</v>
      </c>
      <c r="B237" t="s">
        <v>343</v>
      </c>
      <c r="C237" t="s">
        <v>46</v>
      </c>
      <c r="D237" t="s">
        <v>28</v>
      </c>
      <c r="E237">
        <v>4</v>
      </c>
      <c r="F237" t="s">
        <v>29</v>
      </c>
      <c r="G237">
        <v>10.24</v>
      </c>
      <c r="H237" t="str" cm="1">
        <f t="array" ref="H237">_xlfn.XLOOKUP(TRIM(C237),_xlfn.ANCHORARRAY($L$5),$M$5:$M$18)</f>
        <v>LEGUMEX</v>
      </c>
      <c r="I237" t="str">
        <v>Sauce tomate</v>
      </c>
      <c r="J237">
        <f t="shared" si="8"/>
        <v>4</v>
      </c>
    </row>
    <row r="238" spans="1:10" x14ac:dyDescent="0.25">
      <c r="A238" t="s">
        <v>349</v>
      </c>
      <c r="B238" t="s">
        <v>350</v>
      </c>
      <c r="C238" t="s">
        <v>32</v>
      </c>
      <c r="D238" t="s">
        <v>33</v>
      </c>
      <c r="E238">
        <v>6</v>
      </c>
      <c r="F238" t="s">
        <v>17</v>
      </c>
      <c r="G238">
        <v>10.06</v>
      </c>
      <c r="H238" t="str" cm="1">
        <f t="array" ref="H238">_xlfn.XLOOKUP(TRIM(C238),_xlfn.ANCHORARRAY($L$5),$M$5:$M$18)</f>
        <v>B. Halal Pro</v>
      </c>
      <c r="I238" t="str">
        <v>Viande hachée</v>
      </c>
      <c r="J238">
        <f t="shared" si="8"/>
        <v>6</v>
      </c>
    </row>
    <row r="239" spans="1:10" x14ac:dyDescent="0.25">
      <c r="A239" t="s">
        <v>351</v>
      </c>
      <c r="B239" t="s">
        <v>350</v>
      </c>
      <c r="C239" t="s">
        <v>32</v>
      </c>
      <c r="D239" t="s">
        <v>35</v>
      </c>
      <c r="E239">
        <v>8</v>
      </c>
      <c r="F239" t="s">
        <v>17</v>
      </c>
      <c r="G239">
        <v>7.24</v>
      </c>
      <c r="H239" t="str" cm="1">
        <f t="array" ref="H239">_xlfn.XLOOKUP(TRIM(C239),_xlfn.ANCHORARRAY($L$5),$M$5:$M$18)</f>
        <v>B. Halal Pro</v>
      </c>
      <c r="I239" t="str">
        <v>Poulet émincé</v>
      </c>
      <c r="J239">
        <f t="shared" si="8"/>
        <v>8</v>
      </c>
    </row>
    <row r="240" spans="1:10" x14ac:dyDescent="0.25">
      <c r="A240" t="s">
        <v>352</v>
      </c>
      <c r="B240" t="s">
        <v>350</v>
      </c>
      <c r="C240" t="s">
        <v>37</v>
      </c>
      <c r="D240" t="s">
        <v>38</v>
      </c>
      <c r="E240">
        <v>12</v>
      </c>
      <c r="F240" t="s">
        <v>39</v>
      </c>
      <c r="G240">
        <v>6</v>
      </c>
      <c r="H240" t="str" cm="1">
        <f t="array" ref="H240">_xlfn.XLOOKUP(TRIM(C240),_xlfn.ANCHORARRAY($L$5),$M$5:$M$18)</f>
        <v>Boul. Express</v>
      </c>
      <c r="I240" t="str">
        <v>Pain burger</v>
      </c>
      <c r="J240">
        <f t="shared" si="8"/>
        <v>12</v>
      </c>
    </row>
    <row r="241" spans="1:10" x14ac:dyDescent="0.25">
      <c r="A241" t="s">
        <v>353</v>
      </c>
      <c r="B241" t="s">
        <v>350</v>
      </c>
      <c r="C241" t="s">
        <v>37</v>
      </c>
      <c r="D241" t="s">
        <v>42</v>
      </c>
      <c r="E241">
        <v>10</v>
      </c>
      <c r="F241" t="s">
        <v>43</v>
      </c>
      <c r="G241">
        <v>4</v>
      </c>
      <c r="H241" t="str" cm="1">
        <f t="array" ref="H241">_xlfn.XLOOKUP(TRIM(C241),_xlfn.ANCHORARRAY($L$5),$M$5:$M$18)</f>
        <v>Boul. Express</v>
      </c>
      <c r="I241" t="str">
        <v>Pain pita</v>
      </c>
      <c r="J241">
        <f t="shared" si="8"/>
        <v>10</v>
      </c>
    </row>
    <row r="242" spans="1:10" x14ac:dyDescent="0.25">
      <c r="A242" t="s">
        <v>354</v>
      </c>
      <c r="B242" t="s">
        <v>355</v>
      </c>
      <c r="C242" t="s">
        <v>23</v>
      </c>
      <c r="D242" t="s">
        <v>20</v>
      </c>
      <c r="E242">
        <v>6</v>
      </c>
      <c r="F242" t="s">
        <v>21</v>
      </c>
      <c r="G242">
        <v>4.5199999999999996</v>
      </c>
      <c r="H242" t="str" cm="1">
        <f t="array" ref="H242">_xlfn.XLOOKUP(TRIM(C242),_xlfn.ANCHORARRAY($L$5),$M$5:$M$18)</f>
        <v>LEGUMEX</v>
      </c>
      <c r="I242" t="str">
        <v>Tomates pelées</v>
      </c>
      <c r="J242">
        <f t="shared" si="8"/>
        <v>6</v>
      </c>
    </row>
    <row r="243" spans="1:10" x14ac:dyDescent="0.25">
      <c r="A243" t="s">
        <v>356</v>
      </c>
      <c r="B243" t="s">
        <v>355</v>
      </c>
      <c r="C243" t="s">
        <v>19</v>
      </c>
      <c r="D243" t="s">
        <v>24</v>
      </c>
      <c r="E243">
        <v>10</v>
      </c>
      <c r="F243" t="s">
        <v>25</v>
      </c>
      <c r="G243">
        <v>23.36</v>
      </c>
      <c r="H243" t="str" cm="1">
        <f t="array" ref="H243">_xlfn.XLOOKUP(TRIM(C243),_xlfn.ANCHORARRAY($L$5),$M$5:$M$18)</f>
        <v>LEGUMEX</v>
      </c>
      <c r="I243" t="str">
        <v>Huile olive</v>
      </c>
      <c r="J243">
        <f t="shared" si="8"/>
        <v>10</v>
      </c>
    </row>
    <row r="244" spans="1:10" x14ac:dyDescent="0.25">
      <c r="A244" t="s">
        <v>357</v>
      </c>
      <c r="B244" t="s">
        <v>355</v>
      </c>
      <c r="C244" t="s">
        <v>46</v>
      </c>
      <c r="D244" t="s">
        <v>28</v>
      </c>
      <c r="F244" t="s">
        <v>29</v>
      </c>
      <c r="G244">
        <v>9.43</v>
      </c>
      <c r="H244" t="str" cm="1">
        <f t="array" ref="H244">_xlfn.XLOOKUP(TRIM(C244),_xlfn.ANCHORARRAY($L$5),$M$5:$M$18)</f>
        <v>LEGUMEX</v>
      </c>
      <c r="I244" t="str">
        <v>Sauce tomate</v>
      </c>
      <c r="J244">
        <f t="shared" si="8"/>
        <v>8</v>
      </c>
    </row>
    <row r="245" spans="1:10" x14ac:dyDescent="0.25">
      <c r="A245" t="s">
        <v>358</v>
      </c>
      <c r="B245" t="s">
        <v>355</v>
      </c>
      <c r="C245" t="s">
        <v>90</v>
      </c>
      <c r="D245" t="s">
        <v>51</v>
      </c>
      <c r="E245">
        <v>4</v>
      </c>
      <c r="F245" t="s">
        <v>52</v>
      </c>
      <c r="G245">
        <v>18.52</v>
      </c>
      <c r="H245" t="str" cm="1">
        <f t="array" ref="H245">_xlfn.XLOOKUP(TRIM(C245),_xlfn.ANCHORARRAY($L$5),$M$5:$M$18)</f>
        <v>Moulin du Nord</v>
      </c>
      <c r="I245" t="str">
        <v>Farine</v>
      </c>
      <c r="J245">
        <f t="shared" si="8"/>
        <v>4</v>
      </c>
    </row>
    <row r="246" spans="1:10" x14ac:dyDescent="0.25">
      <c r="A246" t="s">
        <v>359</v>
      </c>
      <c r="B246" t="s">
        <v>355</v>
      </c>
      <c r="C246" t="s">
        <v>54</v>
      </c>
      <c r="D246" t="s">
        <v>55</v>
      </c>
      <c r="E246">
        <v>8</v>
      </c>
      <c r="F246" t="s">
        <v>17</v>
      </c>
      <c r="G246">
        <v>9.1999999999999993</v>
      </c>
      <c r="H246" t="str" cm="1">
        <f t="array" ref="H246">_xlfn.XLOOKUP(TRIM(C246),_xlfn.ANCHORARRAY($L$5),$M$5:$M$18)</f>
        <v>Fromag. Centrale</v>
      </c>
      <c r="I246" t="str">
        <v>Mozzarella</v>
      </c>
      <c r="J246">
        <f t="shared" si="8"/>
        <v>8</v>
      </c>
    </row>
    <row r="247" spans="1:10" x14ac:dyDescent="0.25">
      <c r="A247" t="s">
        <v>360</v>
      </c>
      <c r="B247" t="s">
        <v>361</v>
      </c>
      <c r="C247" t="s">
        <v>13</v>
      </c>
      <c r="D247" t="s">
        <v>10</v>
      </c>
      <c r="E247">
        <v>6</v>
      </c>
      <c r="F247" t="s">
        <v>11</v>
      </c>
      <c r="G247">
        <v>14</v>
      </c>
      <c r="H247" t="str" cm="1">
        <f t="array" ref="H247">_xlfn.XLOOKUP(TRIM(C247),_xlfn.ANCHORARRAY($L$5),$M$5:$M$18)</f>
        <v>Metro</v>
      </c>
      <c r="I247" t="str">
        <v>Coca Cola</v>
      </c>
      <c r="J247">
        <f t="shared" si="8"/>
        <v>6</v>
      </c>
    </row>
    <row r="248" spans="1:10" x14ac:dyDescent="0.25">
      <c r="A248" t="s">
        <v>362</v>
      </c>
      <c r="B248" t="s">
        <v>361</v>
      </c>
      <c r="C248" t="s">
        <v>61</v>
      </c>
      <c r="D248" t="s">
        <v>14</v>
      </c>
      <c r="E248">
        <v>5</v>
      </c>
      <c r="F248" t="s">
        <v>11</v>
      </c>
      <c r="G248">
        <v>13.89</v>
      </c>
      <c r="H248" t="str" cm="1">
        <f t="array" ref="H248">_xlfn.XLOOKUP(TRIM(C248),_xlfn.ANCHORARRAY($L$5),$M$5:$M$18)</f>
        <v>Metro</v>
      </c>
      <c r="I248" t="str">
        <v>7up</v>
      </c>
      <c r="J248">
        <f t="shared" si="8"/>
        <v>5</v>
      </c>
    </row>
    <row r="249" spans="1:10" x14ac:dyDescent="0.25">
      <c r="A249" t="s">
        <v>363</v>
      </c>
      <c r="B249" t="s">
        <v>361</v>
      </c>
      <c r="C249" t="s">
        <v>9</v>
      </c>
      <c r="D249" t="s">
        <v>16</v>
      </c>
      <c r="E249">
        <v>6</v>
      </c>
      <c r="F249" t="s">
        <v>17</v>
      </c>
      <c r="G249">
        <v>1.26</v>
      </c>
      <c r="H249" t="str" cm="1">
        <f t="array" ref="H249">_xlfn.XLOOKUP(TRIM(C249),_xlfn.ANCHORARRAY($L$5),$M$5:$M$18)</f>
        <v>Metro</v>
      </c>
      <c r="I249" t="str">
        <v>Sel</v>
      </c>
      <c r="J249">
        <f t="shared" si="8"/>
        <v>6</v>
      </c>
    </row>
    <row r="250" spans="1:10" x14ac:dyDescent="0.25">
      <c r="A250" t="s">
        <v>364</v>
      </c>
      <c r="B250" t="s">
        <v>365</v>
      </c>
      <c r="C250" t="s">
        <v>66</v>
      </c>
      <c r="D250" t="s">
        <v>33</v>
      </c>
      <c r="E250">
        <v>5</v>
      </c>
      <c r="F250" t="s">
        <v>17</v>
      </c>
      <c r="G250">
        <v>8.6300000000000008</v>
      </c>
      <c r="H250" t="str" cm="1">
        <f t="array" ref="H250">_xlfn.XLOOKUP(TRIM(C250),_xlfn.ANCHORARRAY($L$5),$M$5:$M$18)</f>
        <v>B. Halal Pro</v>
      </c>
      <c r="I250" t="str">
        <v>Viande hachée</v>
      </c>
      <c r="J250">
        <f t="shared" si="8"/>
        <v>5</v>
      </c>
    </row>
    <row r="251" spans="1:10" x14ac:dyDescent="0.25">
      <c r="A251" t="s">
        <v>366</v>
      </c>
      <c r="B251" t="s">
        <v>365</v>
      </c>
      <c r="C251" t="s">
        <v>32</v>
      </c>
      <c r="D251" t="s">
        <v>35</v>
      </c>
      <c r="E251">
        <v>5</v>
      </c>
      <c r="F251" t="s">
        <v>17</v>
      </c>
      <c r="G251">
        <v>7.77</v>
      </c>
      <c r="H251" t="str" cm="1">
        <f t="array" ref="H251">_xlfn.XLOOKUP(TRIM(C251),_xlfn.ANCHORARRAY($L$5),$M$5:$M$18)</f>
        <v>B. Halal Pro</v>
      </c>
      <c r="I251" t="str">
        <v>Poulet émincé</v>
      </c>
      <c r="J251">
        <f t="shared" si="8"/>
        <v>5</v>
      </c>
    </row>
    <row r="252" spans="1:10" x14ac:dyDescent="0.25">
      <c r="A252" t="s">
        <v>367</v>
      </c>
      <c r="B252" t="s">
        <v>365</v>
      </c>
      <c r="C252" t="s">
        <v>83</v>
      </c>
      <c r="D252" t="s">
        <v>38</v>
      </c>
      <c r="E252">
        <v>10</v>
      </c>
      <c r="F252" t="s">
        <v>39</v>
      </c>
      <c r="G252">
        <v>5.82</v>
      </c>
      <c r="H252" t="str" cm="1">
        <f t="array" ref="H252">_xlfn.XLOOKUP(TRIM(C252),_xlfn.ANCHORARRAY($L$5),$M$5:$M$18)</f>
        <v>Boul. Express</v>
      </c>
      <c r="I252" t="str">
        <v>Pain burger</v>
      </c>
      <c r="J252">
        <f t="shared" si="8"/>
        <v>10</v>
      </c>
    </row>
    <row r="253" spans="1:10" x14ac:dyDescent="0.25">
      <c r="A253" t="s">
        <v>368</v>
      </c>
      <c r="B253" t="s">
        <v>365</v>
      </c>
      <c r="C253" t="s">
        <v>69</v>
      </c>
      <c r="D253" t="s">
        <v>42</v>
      </c>
      <c r="E253">
        <v>8</v>
      </c>
      <c r="F253" t="s">
        <v>43</v>
      </c>
      <c r="G253">
        <v>3.96</v>
      </c>
      <c r="H253" t="str" cm="1">
        <f t="array" ref="H253">_xlfn.XLOOKUP(TRIM(C253),_xlfn.ANCHORARRAY($L$5),$M$5:$M$18)</f>
        <v>Boul. Express</v>
      </c>
      <c r="I253" t="str">
        <v>Pain pita</v>
      </c>
      <c r="J253">
        <f t="shared" si="8"/>
        <v>8</v>
      </c>
    </row>
    <row r="254" spans="1:10" x14ac:dyDescent="0.25">
      <c r="A254" t="s">
        <v>369</v>
      </c>
      <c r="B254" t="s">
        <v>370</v>
      </c>
      <c r="C254" t="s">
        <v>154</v>
      </c>
      <c r="D254" t="s">
        <v>55</v>
      </c>
      <c r="E254">
        <v>10</v>
      </c>
      <c r="F254" t="s">
        <v>17</v>
      </c>
      <c r="G254">
        <v>9.5500000000000007</v>
      </c>
      <c r="H254" t="str" cm="1">
        <f t="array" ref="H254">_xlfn.XLOOKUP(TRIM(C254),_xlfn.ANCHORARRAY($L$5),$M$5:$M$18)</f>
        <v>Fromag. Centrale</v>
      </c>
      <c r="I254" t="str">
        <v>Mozzarella</v>
      </c>
      <c r="J254">
        <f t="shared" si="8"/>
        <v>10</v>
      </c>
    </row>
    <row r="255" spans="1:10" x14ac:dyDescent="0.25">
      <c r="A255" t="s">
        <v>371</v>
      </c>
      <c r="B255" t="s">
        <v>372</v>
      </c>
      <c r="C255" t="s">
        <v>97</v>
      </c>
      <c r="D255" t="s">
        <v>10</v>
      </c>
      <c r="E255">
        <v>3</v>
      </c>
      <c r="F255" t="s">
        <v>11</v>
      </c>
      <c r="G255">
        <v>14.86</v>
      </c>
      <c r="H255" t="str" cm="1">
        <f t="array" ref="H255">_xlfn.XLOOKUP(TRIM(C255),_xlfn.ANCHORARRAY($L$5),$M$5:$M$18)</f>
        <v>Metro</v>
      </c>
      <c r="I255" t="str">
        <v>Coca Cola</v>
      </c>
      <c r="J255">
        <f t="shared" si="8"/>
        <v>3</v>
      </c>
    </row>
    <row r="256" spans="1:10" x14ac:dyDescent="0.25">
      <c r="A256" t="s">
        <v>373</v>
      </c>
      <c r="B256" t="s">
        <v>372</v>
      </c>
      <c r="C256" t="s">
        <v>59</v>
      </c>
      <c r="D256" t="s">
        <v>14</v>
      </c>
      <c r="E256">
        <v>4</v>
      </c>
      <c r="F256" t="s">
        <v>11</v>
      </c>
      <c r="G256">
        <v>13.82</v>
      </c>
      <c r="H256" t="str" cm="1">
        <f t="array" ref="H256">_xlfn.XLOOKUP(TRIM(C256),_xlfn.ANCHORARRAY($L$5),$M$5:$M$18)</f>
        <v>Metro</v>
      </c>
      <c r="I256" t="str">
        <v>7up</v>
      </c>
      <c r="J256">
        <f t="shared" si="8"/>
        <v>4</v>
      </c>
    </row>
    <row r="257" spans="1:10" x14ac:dyDescent="0.25">
      <c r="A257" t="s">
        <v>374</v>
      </c>
      <c r="B257" t="s">
        <v>372</v>
      </c>
      <c r="C257" t="s">
        <v>97</v>
      </c>
      <c r="D257" t="s">
        <v>16</v>
      </c>
      <c r="E257">
        <v>5</v>
      </c>
      <c r="F257" t="s">
        <v>17</v>
      </c>
      <c r="G257">
        <v>1.17</v>
      </c>
      <c r="H257" t="str" cm="1">
        <f t="array" ref="H257">_xlfn.XLOOKUP(TRIM(C257),_xlfn.ANCHORARRAY($L$5),$M$5:$M$18)</f>
        <v>Metro</v>
      </c>
      <c r="I257" t="str">
        <v>Sel</v>
      </c>
      <c r="J257">
        <f t="shared" si="8"/>
        <v>5</v>
      </c>
    </row>
    <row r="258" spans="1:10" x14ac:dyDescent="0.25">
      <c r="A258" t="s">
        <v>375</v>
      </c>
      <c r="B258" t="s">
        <v>372</v>
      </c>
      <c r="C258" t="s">
        <v>27</v>
      </c>
      <c r="D258" t="s">
        <v>20</v>
      </c>
      <c r="E258">
        <v>10</v>
      </c>
      <c r="F258" t="s">
        <v>21</v>
      </c>
      <c r="G258">
        <v>4.51</v>
      </c>
      <c r="H258" t="str" cm="1">
        <f t="array" ref="H258">_xlfn.XLOOKUP(TRIM(C258),_xlfn.ANCHORARRAY($L$5),$M$5:$M$18)</f>
        <v>LEGUMEX</v>
      </c>
      <c r="I258" t="str">
        <v>Tomates pelées</v>
      </c>
      <c r="J258">
        <f t="shared" ref="J258:J321" si="9">IF(E258&lt;&gt;0,E258,_xlfn.XLOOKUP(I258,$Q$5:$Q$16,$Y$5:$Y$16))</f>
        <v>10</v>
      </c>
    </row>
    <row r="259" spans="1:10" x14ac:dyDescent="0.25">
      <c r="A259" t="s">
        <v>376</v>
      </c>
      <c r="B259" t="s">
        <v>372</v>
      </c>
      <c r="C259" t="s">
        <v>19</v>
      </c>
      <c r="D259" t="s">
        <v>24</v>
      </c>
      <c r="E259">
        <v>4</v>
      </c>
      <c r="F259" t="s">
        <v>25</v>
      </c>
      <c r="G259">
        <v>22.74</v>
      </c>
      <c r="H259" t="str" cm="1">
        <f t="array" ref="H259">_xlfn.XLOOKUP(TRIM(C259),_xlfn.ANCHORARRAY($L$5),$M$5:$M$18)</f>
        <v>LEGUMEX</v>
      </c>
      <c r="I259" t="str">
        <v>Huile olive</v>
      </c>
      <c r="J259">
        <f t="shared" si="9"/>
        <v>4</v>
      </c>
    </row>
    <row r="260" spans="1:10" x14ac:dyDescent="0.25">
      <c r="A260" t="s">
        <v>377</v>
      </c>
      <c r="B260" t="s">
        <v>372</v>
      </c>
      <c r="C260" t="s">
        <v>46</v>
      </c>
      <c r="D260" t="s">
        <v>28</v>
      </c>
      <c r="E260">
        <v>6</v>
      </c>
      <c r="F260" t="s">
        <v>29</v>
      </c>
      <c r="G260">
        <v>9.6199999999999992</v>
      </c>
      <c r="H260" t="str" cm="1">
        <f t="array" ref="H260">_xlfn.XLOOKUP(TRIM(C260),_xlfn.ANCHORARRAY($L$5),$M$5:$M$18)</f>
        <v>LEGUMEX</v>
      </c>
      <c r="I260" t="str">
        <v>Sauce tomate</v>
      </c>
      <c r="J260">
        <f t="shared" si="9"/>
        <v>6</v>
      </c>
    </row>
    <row r="261" spans="1:10" x14ac:dyDescent="0.25">
      <c r="A261" t="s">
        <v>378</v>
      </c>
      <c r="B261" t="s">
        <v>379</v>
      </c>
      <c r="C261" t="s">
        <v>100</v>
      </c>
      <c r="D261" t="s">
        <v>33</v>
      </c>
      <c r="E261">
        <v>12</v>
      </c>
      <c r="F261" t="s">
        <v>17</v>
      </c>
      <c r="G261">
        <v>8.52</v>
      </c>
      <c r="H261" t="str" cm="1">
        <f t="array" ref="H261">_xlfn.XLOOKUP(TRIM(C261),_xlfn.ANCHORARRAY($L$5),$M$5:$M$18)</f>
        <v>B. Halal Pro</v>
      </c>
      <c r="I261" t="str">
        <v>Viande hachée</v>
      </c>
      <c r="J261">
        <f t="shared" si="9"/>
        <v>12</v>
      </c>
    </row>
    <row r="262" spans="1:10" x14ac:dyDescent="0.25">
      <c r="A262" t="s">
        <v>380</v>
      </c>
      <c r="B262" t="s">
        <v>379</v>
      </c>
      <c r="C262" t="s">
        <v>100</v>
      </c>
      <c r="D262" t="s">
        <v>35</v>
      </c>
      <c r="E262">
        <v>6</v>
      </c>
      <c r="F262" t="s">
        <v>17</v>
      </c>
      <c r="G262">
        <v>7.56</v>
      </c>
      <c r="H262" t="str" cm="1">
        <f t="array" ref="H262">_xlfn.XLOOKUP(TRIM(C262),_xlfn.ANCHORARRAY($L$5),$M$5:$M$18)</f>
        <v>B. Halal Pro</v>
      </c>
      <c r="I262" t="str">
        <v>Poulet émincé</v>
      </c>
      <c r="J262">
        <f t="shared" si="9"/>
        <v>6</v>
      </c>
    </row>
    <row r="263" spans="1:10" x14ac:dyDescent="0.25">
      <c r="A263" t="s">
        <v>381</v>
      </c>
      <c r="B263" t="s">
        <v>379</v>
      </c>
      <c r="C263" t="s">
        <v>83</v>
      </c>
      <c r="D263" t="s">
        <v>38</v>
      </c>
      <c r="E263">
        <v>5</v>
      </c>
      <c r="F263" t="s">
        <v>39</v>
      </c>
      <c r="G263">
        <v>5.96</v>
      </c>
      <c r="H263" t="str" cm="1">
        <f t="array" ref="H263">_xlfn.XLOOKUP(TRIM(C263),_xlfn.ANCHORARRAY($L$5),$M$5:$M$18)</f>
        <v>Boul. Express</v>
      </c>
      <c r="I263" t="str">
        <v>Pain burger</v>
      </c>
      <c r="J263">
        <f t="shared" si="9"/>
        <v>5</v>
      </c>
    </row>
    <row r="264" spans="1:10" x14ac:dyDescent="0.25">
      <c r="A264" t="s">
        <v>382</v>
      </c>
      <c r="B264" t="s">
        <v>379</v>
      </c>
      <c r="C264" t="s">
        <v>83</v>
      </c>
      <c r="D264" t="s">
        <v>42</v>
      </c>
      <c r="E264">
        <v>10</v>
      </c>
      <c r="F264" t="s">
        <v>43</v>
      </c>
      <c r="G264">
        <v>4.05</v>
      </c>
      <c r="H264" t="str" cm="1">
        <f t="array" ref="H264">_xlfn.XLOOKUP(TRIM(C264),_xlfn.ANCHORARRAY($L$5),$M$5:$M$18)</f>
        <v>Boul. Express</v>
      </c>
      <c r="I264" t="str">
        <v>Pain pita</v>
      </c>
      <c r="J264">
        <f t="shared" si="9"/>
        <v>10</v>
      </c>
    </row>
    <row r="265" spans="1:10" x14ac:dyDescent="0.25">
      <c r="A265" t="s">
        <v>383</v>
      </c>
      <c r="B265" t="s">
        <v>384</v>
      </c>
      <c r="C265" t="s">
        <v>27</v>
      </c>
      <c r="D265" t="s">
        <v>20</v>
      </c>
      <c r="E265">
        <v>4</v>
      </c>
      <c r="F265" t="s">
        <v>21</v>
      </c>
      <c r="G265">
        <v>4.3499999999999996</v>
      </c>
      <c r="H265" t="str" cm="1">
        <f t="array" ref="H265">_xlfn.XLOOKUP(TRIM(C265),_xlfn.ANCHORARRAY($L$5),$M$5:$M$18)</f>
        <v>LEGUMEX</v>
      </c>
      <c r="I265" t="str">
        <v>Tomates pelées</v>
      </c>
      <c r="J265">
        <f t="shared" si="9"/>
        <v>4</v>
      </c>
    </row>
    <row r="266" spans="1:10" x14ac:dyDescent="0.25">
      <c r="A266" t="s">
        <v>385</v>
      </c>
      <c r="B266" t="s">
        <v>384</v>
      </c>
      <c r="C266" t="s">
        <v>46</v>
      </c>
      <c r="D266" t="s">
        <v>24</v>
      </c>
      <c r="E266">
        <v>6</v>
      </c>
      <c r="F266" t="s">
        <v>25</v>
      </c>
      <c r="G266">
        <v>23.16</v>
      </c>
      <c r="H266" t="str" cm="1">
        <f t="array" ref="H266">_xlfn.XLOOKUP(TRIM(C266),_xlfn.ANCHORARRAY($L$5),$M$5:$M$18)</f>
        <v>LEGUMEX</v>
      </c>
      <c r="I266" t="str">
        <v>Huile olive</v>
      </c>
      <c r="J266">
        <f t="shared" si="9"/>
        <v>6</v>
      </c>
    </row>
    <row r="267" spans="1:10" x14ac:dyDescent="0.25">
      <c r="A267" t="s">
        <v>386</v>
      </c>
      <c r="B267" t="s">
        <v>384</v>
      </c>
      <c r="C267" t="s">
        <v>27</v>
      </c>
      <c r="D267" t="s">
        <v>28</v>
      </c>
      <c r="E267">
        <v>4</v>
      </c>
      <c r="F267" t="s">
        <v>29</v>
      </c>
      <c r="G267">
        <v>9.5299999999999994</v>
      </c>
      <c r="H267" t="str" cm="1">
        <f t="array" ref="H267">_xlfn.XLOOKUP(TRIM(C267),_xlfn.ANCHORARRAY($L$5),$M$5:$M$18)</f>
        <v>LEGUMEX</v>
      </c>
      <c r="I267" t="str">
        <v>Sauce tomate</v>
      </c>
      <c r="J267">
        <f t="shared" si="9"/>
        <v>4</v>
      </c>
    </row>
    <row r="268" spans="1:10" x14ac:dyDescent="0.25">
      <c r="A268" t="s">
        <v>387</v>
      </c>
      <c r="B268" t="s">
        <v>384</v>
      </c>
      <c r="C268" t="s">
        <v>50</v>
      </c>
      <c r="D268" t="s">
        <v>51</v>
      </c>
      <c r="E268">
        <v>4</v>
      </c>
      <c r="F268" t="s">
        <v>52</v>
      </c>
      <c r="G268">
        <v>18.64</v>
      </c>
      <c r="H268" t="str" cm="1">
        <f t="array" ref="H268">_xlfn.XLOOKUP(TRIM(C268),_xlfn.ANCHORARRAY($L$5),$M$5:$M$18)</f>
        <v>Moulin du Nord</v>
      </c>
      <c r="I268" t="str">
        <v>Farine</v>
      </c>
      <c r="J268">
        <f t="shared" si="9"/>
        <v>4</v>
      </c>
    </row>
    <row r="269" spans="1:10" x14ac:dyDescent="0.25">
      <c r="A269" t="s">
        <v>388</v>
      </c>
      <c r="B269" t="s">
        <v>384</v>
      </c>
      <c r="C269" t="s">
        <v>195</v>
      </c>
      <c r="D269" t="s">
        <v>55</v>
      </c>
      <c r="E269">
        <v>4</v>
      </c>
      <c r="F269" t="s">
        <v>17</v>
      </c>
      <c r="G269">
        <v>9.4700000000000006</v>
      </c>
      <c r="H269" t="str" cm="1">
        <f t="array" ref="H269">_xlfn.XLOOKUP(TRIM(C269),_xlfn.ANCHORARRAY($L$5),$M$5:$M$18)</f>
        <v>Fromag. Centrale</v>
      </c>
      <c r="I269" t="str">
        <v>Mozzarella</v>
      </c>
      <c r="J269">
        <f t="shared" si="9"/>
        <v>4</v>
      </c>
    </row>
    <row r="270" spans="1:10" x14ac:dyDescent="0.25">
      <c r="A270" t="s">
        <v>389</v>
      </c>
      <c r="B270" t="s">
        <v>390</v>
      </c>
      <c r="C270" t="s">
        <v>13</v>
      </c>
      <c r="D270" t="s">
        <v>10</v>
      </c>
      <c r="E270">
        <v>3</v>
      </c>
      <c r="F270" t="s">
        <v>11</v>
      </c>
      <c r="G270">
        <v>14.91</v>
      </c>
      <c r="H270" t="str" cm="1">
        <f t="array" ref="H270">_xlfn.XLOOKUP(TRIM(C270),_xlfn.ANCHORARRAY($L$5),$M$5:$M$18)</f>
        <v>Metro</v>
      </c>
      <c r="I270" t="str">
        <v>Coca Cola</v>
      </c>
      <c r="J270">
        <f t="shared" si="9"/>
        <v>3</v>
      </c>
    </row>
    <row r="271" spans="1:10" x14ac:dyDescent="0.25">
      <c r="A271" t="s">
        <v>391</v>
      </c>
      <c r="B271" t="s">
        <v>390</v>
      </c>
      <c r="C271" t="s">
        <v>61</v>
      </c>
      <c r="D271" t="s">
        <v>14</v>
      </c>
      <c r="E271">
        <v>5</v>
      </c>
      <c r="F271" t="s">
        <v>11</v>
      </c>
      <c r="G271">
        <v>13.35</v>
      </c>
      <c r="H271" t="str" cm="1">
        <f t="array" ref="H271">_xlfn.XLOOKUP(TRIM(C271),_xlfn.ANCHORARRAY($L$5),$M$5:$M$18)</f>
        <v>Metro</v>
      </c>
      <c r="I271" t="str">
        <v>7up</v>
      </c>
      <c r="J271">
        <f t="shared" si="9"/>
        <v>5</v>
      </c>
    </row>
    <row r="272" spans="1:10" x14ac:dyDescent="0.25">
      <c r="A272" t="s">
        <v>392</v>
      </c>
      <c r="B272" t="s">
        <v>390</v>
      </c>
      <c r="C272" t="s">
        <v>9</v>
      </c>
      <c r="D272" t="s">
        <v>16</v>
      </c>
      <c r="E272">
        <v>6</v>
      </c>
      <c r="F272" t="s">
        <v>17</v>
      </c>
      <c r="G272">
        <v>1.26</v>
      </c>
      <c r="H272" t="str" cm="1">
        <f t="array" ref="H272">_xlfn.XLOOKUP(TRIM(C272),_xlfn.ANCHORARRAY($L$5),$M$5:$M$18)</f>
        <v>Metro</v>
      </c>
      <c r="I272" t="str">
        <v>Sel</v>
      </c>
      <c r="J272">
        <f t="shared" si="9"/>
        <v>6</v>
      </c>
    </row>
    <row r="273" spans="1:10" x14ac:dyDescent="0.25">
      <c r="A273" t="s">
        <v>393</v>
      </c>
      <c r="B273" t="s">
        <v>394</v>
      </c>
      <c r="C273" t="s">
        <v>64</v>
      </c>
      <c r="D273" t="s">
        <v>33</v>
      </c>
      <c r="E273">
        <v>10</v>
      </c>
      <c r="F273" t="s">
        <v>17</v>
      </c>
      <c r="G273">
        <v>9.48</v>
      </c>
      <c r="H273" t="str" cm="1">
        <f t="array" ref="H273">_xlfn.XLOOKUP(TRIM(C273),_xlfn.ANCHORARRAY($L$5),$M$5:$M$18)</f>
        <v>B. Halal Pro</v>
      </c>
      <c r="I273" t="str">
        <v>Viande hachée</v>
      </c>
      <c r="J273">
        <f t="shared" si="9"/>
        <v>10</v>
      </c>
    </row>
    <row r="274" spans="1:10" x14ac:dyDescent="0.25">
      <c r="A274" t="s">
        <v>395</v>
      </c>
      <c r="B274" t="s">
        <v>394</v>
      </c>
      <c r="C274" t="s">
        <v>64</v>
      </c>
      <c r="D274" t="s">
        <v>35</v>
      </c>
      <c r="E274">
        <v>6</v>
      </c>
      <c r="F274" t="s">
        <v>17</v>
      </c>
      <c r="G274">
        <v>7</v>
      </c>
      <c r="H274" t="str" cm="1">
        <f t="array" ref="H274">_xlfn.XLOOKUP(TRIM(C274),_xlfn.ANCHORARRAY($L$5),$M$5:$M$18)</f>
        <v>B. Halal Pro</v>
      </c>
      <c r="I274" t="str">
        <v>Poulet émincé</v>
      </c>
      <c r="J274">
        <f t="shared" si="9"/>
        <v>6</v>
      </c>
    </row>
    <row r="275" spans="1:10" x14ac:dyDescent="0.25">
      <c r="A275" t="s">
        <v>396</v>
      </c>
      <c r="B275" t="s">
        <v>394</v>
      </c>
      <c r="C275" t="s">
        <v>37</v>
      </c>
      <c r="D275" t="s">
        <v>38</v>
      </c>
      <c r="E275">
        <v>10</v>
      </c>
      <c r="F275" t="s">
        <v>39</v>
      </c>
      <c r="G275">
        <v>5.9</v>
      </c>
      <c r="H275" t="str" cm="1">
        <f t="array" ref="H275">_xlfn.XLOOKUP(TRIM(C275),_xlfn.ANCHORARRAY($L$5),$M$5:$M$18)</f>
        <v>Boul. Express</v>
      </c>
      <c r="I275" t="str">
        <v>Pain burger</v>
      </c>
      <c r="J275">
        <f t="shared" si="9"/>
        <v>10</v>
      </c>
    </row>
    <row r="276" spans="1:10" x14ac:dyDescent="0.25">
      <c r="A276" t="s">
        <v>397</v>
      </c>
      <c r="B276" t="s">
        <v>394</v>
      </c>
      <c r="C276" t="s">
        <v>37</v>
      </c>
      <c r="D276" t="s">
        <v>42</v>
      </c>
      <c r="E276">
        <v>12</v>
      </c>
      <c r="F276" t="s">
        <v>43</v>
      </c>
      <c r="G276">
        <v>3.93</v>
      </c>
      <c r="H276" t="str" cm="1">
        <f t="array" ref="H276">_xlfn.XLOOKUP(TRIM(C276),_xlfn.ANCHORARRAY($L$5),$M$5:$M$18)</f>
        <v>Boul. Express</v>
      </c>
      <c r="I276" t="str">
        <v>Pain pita</v>
      </c>
      <c r="J276">
        <f t="shared" si="9"/>
        <v>12</v>
      </c>
    </row>
    <row r="277" spans="1:10" x14ac:dyDescent="0.25">
      <c r="A277" t="s">
        <v>398</v>
      </c>
      <c r="B277" t="s">
        <v>399</v>
      </c>
      <c r="C277" t="s">
        <v>154</v>
      </c>
      <c r="D277" t="s">
        <v>55</v>
      </c>
      <c r="E277">
        <v>6</v>
      </c>
      <c r="F277" t="s">
        <v>17</v>
      </c>
      <c r="G277">
        <v>9.58</v>
      </c>
      <c r="H277" t="str" cm="1">
        <f t="array" ref="H277">_xlfn.XLOOKUP(TRIM(C277),_xlfn.ANCHORARRAY($L$5),$M$5:$M$18)</f>
        <v>Fromag. Centrale</v>
      </c>
      <c r="I277" t="str">
        <v>Mozzarella</v>
      </c>
      <c r="J277">
        <f t="shared" si="9"/>
        <v>6</v>
      </c>
    </row>
    <row r="278" spans="1:10" x14ac:dyDescent="0.25">
      <c r="A278" t="s">
        <v>400</v>
      </c>
      <c r="B278" t="s">
        <v>401</v>
      </c>
      <c r="C278" t="s">
        <v>13</v>
      </c>
      <c r="D278" t="s">
        <v>10</v>
      </c>
      <c r="E278">
        <v>6</v>
      </c>
      <c r="F278" t="s">
        <v>11</v>
      </c>
      <c r="G278">
        <v>14.41</v>
      </c>
      <c r="H278" t="str" cm="1">
        <f t="array" ref="H278">_xlfn.XLOOKUP(TRIM(C278),_xlfn.ANCHORARRAY($L$5),$M$5:$M$18)</f>
        <v>Metro</v>
      </c>
      <c r="I278" t="str">
        <v>Coca Cola</v>
      </c>
      <c r="J278">
        <f t="shared" si="9"/>
        <v>6</v>
      </c>
    </row>
    <row r="279" spans="1:10" x14ac:dyDescent="0.25">
      <c r="A279" t="s">
        <v>402</v>
      </c>
      <c r="B279" t="s">
        <v>401</v>
      </c>
      <c r="C279" t="s">
        <v>59</v>
      </c>
      <c r="D279" t="s">
        <v>14</v>
      </c>
      <c r="E279">
        <v>3</v>
      </c>
      <c r="F279" t="s">
        <v>11</v>
      </c>
      <c r="G279">
        <v>13.18</v>
      </c>
      <c r="H279" t="str" cm="1">
        <f t="array" ref="H279">_xlfn.XLOOKUP(TRIM(C279),_xlfn.ANCHORARRAY($L$5),$M$5:$M$18)</f>
        <v>Metro</v>
      </c>
      <c r="I279" t="str">
        <v>7up</v>
      </c>
      <c r="J279">
        <f t="shared" si="9"/>
        <v>3</v>
      </c>
    </row>
    <row r="280" spans="1:10" x14ac:dyDescent="0.25">
      <c r="A280" t="s">
        <v>403</v>
      </c>
      <c r="B280" t="s">
        <v>401</v>
      </c>
      <c r="C280" t="s">
        <v>97</v>
      </c>
      <c r="D280" t="s">
        <v>16</v>
      </c>
      <c r="E280">
        <v>5</v>
      </c>
      <c r="F280" t="s">
        <v>17</v>
      </c>
      <c r="G280">
        <v>1.27</v>
      </c>
      <c r="H280" t="str" cm="1">
        <f t="array" ref="H280">_xlfn.XLOOKUP(TRIM(C280),_xlfn.ANCHORARRAY($L$5),$M$5:$M$18)</f>
        <v>Metro</v>
      </c>
      <c r="I280" t="str">
        <v>Sel</v>
      </c>
      <c r="J280">
        <f t="shared" si="9"/>
        <v>5</v>
      </c>
    </row>
    <row r="281" spans="1:10" x14ac:dyDescent="0.25">
      <c r="A281" t="s">
        <v>404</v>
      </c>
      <c r="B281" t="s">
        <v>401</v>
      </c>
      <c r="C281" t="s">
        <v>23</v>
      </c>
      <c r="D281" t="s">
        <v>20</v>
      </c>
      <c r="E281">
        <v>4</v>
      </c>
      <c r="F281" t="s">
        <v>21</v>
      </c>
      <c r="G281">
        <v>4.03</v>
      </c>
      <c r="H281" t="str" cm="1">
        <f t="array" ref="H281">_xlfn.XLOOKUP(TRIM(C281),_xlfn.ANCHORARRAY($L$5),$M$5:$M$18)</f>
        <v>LEGUMEX</v>
      </c>
      <c r="I281" t="str">
        <v>Tomates pelées</v>
      </c>
      <c r="J281">
        <f t="shared" si="9"/>
        <v>4</v>
      </c>
    </row>
    <row r="282" spans="1:10" x14ac:dyDescent="0.25">
      <c r="A282" t="s">
        <v>405</v>
      </c>
      <c r="B282" t="s">
        <v>401</v>
      </c>
      <c r="C282" t="s">
        <v>27</v>
      </c>
      <c r="D282" t="s">
        <v>24</v>
      </c>
      <c r="E282">
        <v>8</v>
      </c>
      <c r="F282" t="s">
        <v>25</v>
      </c>
      <c r="G282">
        <v>23.03</v>
      </c>
      <c r="H282" t="str" cm="1">
        <f t="array" ref="H282">_xlfn.XLOOKUP(TRIM(C282),_xlfn.ANCHORARRAY($L$5),$M$5:$M$18)</f>
        <v>LEGUMEX</v>
      </c>
      <c r="I282" t="str">
        <v>Huile olive</v>
      </c>
      <c r="J282">
        <f t="shared" si="9"/>
        <v>8</v>
      </c>
    </row>
    <row r="283" spans="1:10" x14ac:dyDescent="0.25">
      <c r="A283" t="s">
        <v>406</v>
      </c>
      <c r="B283" t="s">
        <v>401</v>
      </c>
      <c r="C283" t="s">
        <v>27</v>
      </c>
      <c r="D283" t="s">
        <v>28</v>
      </c>
      <c r="E283">
        <v>8</v>
      </c>
      <c r="F283" t="s">
        <v>29</v>
      </c>
      <c r="G283">
        <v>10.06</v>
      </c>
      <c r="H283" t="str" cm="1">
        <f t="array" ref="H283">_xlfn.XLOOKUP(TRIM(C283),_xlfn.ANCHORARRAY($L$5),$M$5:$M$18)</f>
        <v>LEGUMEX</v>
      </c>
      <c r="I283" t="str">
        <v>Sauce tomate</v>
      </c>
      <c r="J283">
        <f t="shared" si="9"/>
        <v>8</v>
      </c>
    </row>
    <row r="284" spans="1:10" x14ac:dyDescent="0.25">
      <c r="A284" t="s">
        <v>407</v>
      </c>
      <c r="B284" t="s">
        <v>408</v>
      </c>
      <c r="C284" t="s">
        <v>66</v>
      </c>
      <c r="D284" t="s">
        <v>33</v>
      </c>
      <c r="E284">
        <v>10</v>
      </c>
      <c r="F284" t="s">
        <v>17</v>
      </c>
      <c r="G284">
        <v>9.17</v>
      </c>
      <c r="H284" t="str" cm="1">
        <f t="array" ref="H284">_xlfn.XLOOKUP(TRIM(C284),_xlfn.ANCHORARRAY($L$5),$M$5:$M$18)</f>
        <v>B. Halal Pro</v>
      </c>
      <c r="I284" t="str">
        <v>Viande hachée</v>
      </c>
      <c r="J284">
        <f t="shared" si="9"/>
        <v>10</v>
      </c>
    </row>
    <row r="285" spans="1:10" x14ac:dyDescent="0.25">
      <c r="A285" t="s">
        <v>409</v>
      </c>
      <c r="B285" t="s">
        <v>408</v>
      </c>
      <c r="C285" t="s">
        <v>64</v>
      </c>
      <c r="D285" t="s">
        <v>35</v>
      </c>
      <c r="E285">
        <v>12</v>
      </c>
      <c r="F285" t="s">
        <v>17</v>
      </c>
      <c r="G285">
        <v>7.74</v>
      </c>
      <c r="H285" t="str" cm="1">
        <f t="array" ref="H285">_xlfn.XLOOKUP(TRIM(C285),_xlfn.ANCHORARRAY($L$5),$M$5:$M$18)</f>
        <v>B. Halal Pro</v>
      </c>
      <c r="I285" t="str">
        <v>Poulet émincé</v>
      </c>
      <c r="J285">
        <f t="shared" si="9"/>
        <v>12</v>
      </c>
    </row>
    <row r="286" spans="1:10" x14ac:dyDescent="0.25">
      <c r="A286" t="s">
        <v>410</v>
      </c>
      <c r="B286" t="s">
        <v>408</v>
      </c>
      <c r="C286" t="s">
        <v>41</v>
      </c>
      <c r="D286" t="s">
        <v>38</v>
      </c>
      <c r="E286">
        <v>8</v>
      </c>
      <c r="F286" t="s">
        <v>39</v>
      </c>
      <c r="G286">
        <v>5.89</v>
      </c>
      <c r="H286" t="str" cm="1">
        <f t="array" ref="H286">_xlfn.XLOOKUP(TRIM(C286),_xlfn.ANCHORARRAY($L$5),$M$5:$M$18)</f>
        <v>Boul. Express</v>
      </c>
      <c r="I286" t="str">
        <v>Pain burger</v>
      </c>
      <c r="J286">
        <f t="shared" si="9"/>
        <v>8</v>
      </c>
    </row>
    <row r="287" spans="1:10" x14ac:dyDescent="0.25">
      <c r="A287" t="s">
        <v>411</v>
      </c>
      <c r="B287" t="s">
        <v>408</v>
      </c>
      <c r="C287" t="s">
        <v>69</v>
      </c>
      <c r="D287" t="s">
        <v>42</v>
      </c>
      <c r="E287">
        <v>5</v>
      </c>
      <c r="F287" t="s">
        <v>43</v>
      </c>
      <c r="G287">
        <v>3.87</v>
      </c>
      <c r="H287" t="str" cm="1">
        <f t="array" ref="H287">_xlfn.XLOOKUP(TRIM(C287),_xlfn.ANCHORARRAY($L$5),$M$5:$M$18)</f>
        <v>Boul. Express</v>
      </c>
      <c r="I287" t="str">
        <v>Pain pita</v>
      </c>
      <c r="J287">
        <f t="shared" si="9"/>
        <v>5</v>
      </c>
    </row>
    <row r="288" spans="1:10" x14ac:dyDescent="0.25">
      <c r="A288" t="s">
        <v>412</v>
      </c>
      <c r="B288" t="s">
        <v>413</v>
      </c>
      <c r="C288" t="s">
        <v>46</v>
      </c>
      <c r="D288" t="s">
        <v>20</v>
      </c>
      <c r="E288">
        <v>8</v>
      </c>
      <c r="F288" t="s">
        <v>21</v>
      </c>
      <c r="G288">
        <v>4.05</v>
      </c>
      <c r="H288" t="str" cm="1">
        <f t="array" ref="H288">_xlfn.XLOOKUP(TRIM(C288),_xlfn.ANCHORARRAY($L$5),$M$5:$M$18)</f>
        <v>LEGUMEX</v>
      </c>
      <c r="I288" t="str">
        <v>Tomates pelées</v>
      </c>
      <c r="J288">
        <f t="shared" si="9"/>
        <v>8</v>
      </c>
    </row>
    <row r="289" spans="1:10" x14ac:dyDescent="0.25">
      <c r="A289" t="s">
        <v>414</v>
      </c>
      <c r="B289" t="s">
        <v>413</v>
      </c>
      <c r="C289" t="s">
        <v>23</v>
      </c>
      <c r="D289" t="s">
        <v>24</v>
      </c>
      <c r="E289">
        <v>4</v>
      </c>
      <c r="F289" t="s">
        <v>25</v>
      </c>
      <c r="G289">
        <v>23.32</v>
      </c>
      <c r="H289" t="str" cm="1">
        <f t="array" ref="H289">_xlfn.XLOOKUP(TRIM(C289),_xlfn.ANCHORARRAY($L$5),$M$5:$M$18)</f>
        <v>LEGUMEX</v>
      </c>
      <c r="I289" t="str">
        <v>Huile olive</v>
      </c>
      <c r="J289">
        <f t="shared" si="9"/>
        <v>4</v>
      </c>
    </row>
    <row r="290" spans="1:10" x14ac:dyDescent="0.25">
      <c r="A290" t="s">
        <v>415</v>
      </c>
      <c r="B290" t="s">
        <v>413</v>
      </c>
      <c r="C290" t="s">
        <v>46</v>
      </c>
      <c r="D290" t="s">
        <v>28</v>
      </c>
      <c r="E290">
        <v>8</v>
      </c>
      <c r="F290" t="s">
        <v>29</v>
      </c>
      <c r="G290">
        <v>9.35</v>
      </c>
      <c r="H290" t="str" cm="1">
        <f t="array" ref="H290">_xlfn.XLOOKUP(TRIM(C290),_xlfn.ANCHORARRAY($L$5),$M$5:$M$18)</f>
        <v>LEGUMEX</v>
      </c>
      <c r="I290" t="str">
        <v>Sauce tomate</v>
      </c>
      <c r="J290">
        <f t="shared" si="9"/>
        <v>8</v>
      </c>
    </row>
    <row r="291" spans="1:10" x14ac:dyDescent="0.25">
      <c r="A291" t="s">
        <v>416</v>
      </c>
      <c r="B291" t="s">
        <v>413</v>
      </c>
      <c r="C291" t="s">
        <v>242</v>
      </c>
      <c r="D291" t="s">
        <v>51</v>
      </c>
      <c r="F291" t="s">
        <v>52</v>
      </c>
      <c r="G291">
        <v>19.29</v>
      </c>
      <c r="H291" t="str" cm="1">
        <f t="array" ref="H291">_xlfn.XLOOKUP(TRIM(C291),_xlfn.ANCHORARRAY($L$5),$M$5:$M$18)</f>
        <v>Moulin du Nord</v>
      </c>
      <c r="I291" t="str">
        <v>Farine</v>
      </c>
      <c r="J291">
        <f t="shared" si="9"/>
        <v>2</v>
      </c>
    </row>
    <row r="292" spans="1:10" x14ac:dyDescent="0.25">
      <c r="A292" t="s">
        <v>417</v>
      </c>
      <c r="B292" t="s">
        <v>413</v>
      </c>
      <c r="C292" t="s">
        <v>92</v>
      </c>
      <c r="D292" t="s">
        <v>55</v>
      </c>
      <c r="E292">
        <v>10</v>
      </c>
      <c r="F292" t="s">
        <v>17</v>
      </c>
      <c r="G292">
        <v>9.17</v>
      </c>
      <c r="H292" t="str" cm="1">
        <f t="array" ref="H292">_xlfn.XLOOKUP(TRIM(C292),_xlfn.ANCHORARRAY($L$5),$M$5:$M$18)</f>
        <v>Fromag. Centrale</v>
      </c>
      <c r="I292" t="str">
        <v>Mozzarella</v>
      </c>
      <c r="J292">
        <f t="shared" si="9"/>
        <v>10</v>
      </c>
    </row>
    <row r="293" spans="1:10" x14ac:dyDescent="0.25">
      <c r="A293" t="s">
        <v>418</v>
      </c>
      <c r="B293" t="s">
        <v>419</v>
      </c>
      <c r="C293" t="s">
        <v>9</v>
      </c>
      <c r="D293" t="s">
        <v>10</v>
      </c>
      <c r="E293">
        <v>3</v>
      </c>
      <c r="F293" t="s">
        <v>11</v>
      </c>
      <c r="G293">
        <v>14.93</v>
      </c>
      <c r="H293" t="str" cm="1">
        <f t="array" ref="H293">_xlfn.XLOOKUP(TRIM(C293),_xlfn.ANCHORARRAY($L$5),$M$5:$M$18)</f>
        <v>Metro</v>
      </c>
      <c r="I293" t="str">
        <v>Coca Cola</v>
      </c>
      <c r="J293">
        <f t="shared" si="9"/>
        <v>3</v>
      </c>
    </row>
    <row r="294" spans="1:10" x14ac:dyDescent="0.25">
      <c r="A294" t="s">
        <v>420</v>
      </c>
      <c r="B294" t="s">
        <v>419</v>
      </c>
      <c r="C294" t="s">
        <v>59</v>
      </c>
      <c r="D294" t="s">
        <v>14</v>
      </c>
      <c r="E294">
        <v>6</v>
      </c>
      <c r="F294" t="s">
        <v>11</v>
      </c>
      <c r="G294">
        <v>13.21</v>
      </c>
      <c r="H294" t="str" cm="1">
        <f t="array" ref="H294">_xlfn.XLOOKUP(TRIM(C294),_xlfn.ANCHORARRAY($L$5),$M$5:$M$18)</f>
        <v>Metro</v>
      </c>
      <c r="I294" t="str">
        <v>7up</v>
      </c>
      <c r="J294">
        <f t="shared" si="9"/>
        <v>6</v>
      </c>
    </row>
    <row r="295" spans="1:10" x14ac:dyDescent="0.25">
      <c r="A295" t="s">
        <v>421</v>
      </c>
      <c r="B295" t="s">
        <v>419</v>
      </c>
      <c r="C295" t="s">
        <v>97</v>
      </c>
      <c r="D295" t="s">
        <v>16</v>
      </c>
      <c r="E295">
        <v>3</v>
      </c>
      <c r="F295" t="s">
        <v>17</v>
      </c>
      <c r="G295">
        <v>1.26</v>
      </c>
      <c r="H295" t="str" cm="1">
        <f t="array" ref="H295">_xlfn.XLOOKUP(TRIM(C295),_xlfn.ANCHORARRAY($L$5),$M$5:$M$18)</f>
        <v>Metro</v>
      </c>
      <c r="I295" t="str">
        <v>Sel</v>
      </c>
      <c r="J295">
        <f t="shared" si="9"/>
        <v>3</v>
      </c>
    </row>
    <row r="296" spans="1:10" x14ac:dyDescent="0.25">
      <c r="A296" t="s">
        <v>422</v>
      </c>
      <c r="B296" t="s">
        <v>423</v>
      </c>
      <c r="C296" t="s">
        <v>64</v>
      </c>
      <c r="D296" t="s">
        <v>33</v>
      </c>
      <c r="E296">
        <v>8</v>
      </c>
      <c r="F296" t="s">
        <v>17</v>
      </c>
      <c r="G296">
        <v>9.9</v>
      </c>
      <c r="H296" t="str" cm="1">
        <f t="array" ref="H296">_xlfn.XLOOKUP(TRIM(C296),_xlfn.ANCHORARRAY($L$5),$M$5:$M$18)</f>
        <v>B. Halal Pro</v>
      </c>
      <c r="I296" t="str">
        <v>Viande hachée</v>
      </c>
      <c r="J296">
        <f t="shared" si="9"/>
        <v>8</v>
      </c>
    </row>
    <row r="297" spans="1:10" x14ac:dyDescent="0.25">
      <c r="A297" t="s">
        <v>424</v>
      </c>
      <c r="B297" t="s">
        <v>423</v>
      </c>
      <c r="C297" t="s">
        <v>66</v>
      </c>
      <c r="D297" t="s">
        <v>35</v>
      </c>
      <c r="E297">
        <v>10</v>
      </c>
      <c r="F297" t="s">
        <v>17</v>
      </c>
      <c r="G297">
        <v>7.18</v>
      </c>
      <c r="H297" t="str" cm="1">
        <f t="array" ref="H297">_xlfn.XLOOKUP(TRIM(C297),_xlfn.ANCHORARRAY($L$5),$M$5:$M$18)</f>
        <v>B. Halal Pro</v>
      </c>
      <c r="I297" t="str">
        <v>Poulet émincé</v>
      </c>
      <c r="J297">
        <f t="shared" si="9"/>
        <v>10</v>
      </c>
    </row>
    <row r="298" spans="1:10" x14ac:dyDescent="0.25">
      <c r="A298" t="s">
        <v>425</v>
      </c>
      <c r="B298" t="s">
        <v>423</v>
      </c>
      <c r="C298" t="s">
        <v>83</v>
      </c>
      <c r="D298" t="s">
        <v>38</v>
      </c>
      <c r="E298">
        <v>5</v>
      </c>
      <c r="F298" t="s">
        <v>39</v>
      </c>
      <c r="G298">
        <v>5.95</v>
      </c>
      <c r="H298" t="str" cm="1">
        <f t="array" ref="H298">_xlfn.XLOOKUP(TRIM(C298),_xlfn.ANCHORARRAY($L$5),$M$5:$M$18)</f>
        <v>Boul. Express</v>
      </c>
      <c r="I298" t="str">
        <v>Pain burger</v>
      </c>
      <c r="J298">
        <f t="shared" si="9"/>
        <v>5</v>
      </c>
    </row>
    <row r="299" spans="1:10" x14ac:dyDescent="0.25">
      <c r="A299" t="s">
        <v>426</v>
      </c>
      <c r="B299" t="s">
        <v>423</v>
      </c>
      <c r="C299" t="s">
        <v>41</v>
      </c>
      <c r="D299" t="s">
        <v>42</v>
      </c>
      <c r="E299">
        <v>12</v>
      </c>
      <c r="F299" t="s">
        <v>43</v>
      </c>
      <c r="G299">
        <v>3.89</v>
      </c>
      <c r="H299" t="str" cm="1">
        <f t="array" ref="H299">_xlfn.XLOOKUP(TRIM(C299),_xlfn.ANCHORARRAY($L$5),$M$5:$M$18)</f>
        <v>Boul. Express</v>
      </c>
      <c r="I299" t="str">
        <v>Pain pita</v>
      </c>
      <c r="J299">
        <f t="shared" si="9"/>
        <v>12</v>
      </c>
    </row>
    <row r="300" spans="1:10" x14ac:dyDescent="0.25">
      <c r="A300" t="s">
        <v>427</v>
      </c>
      <c r="B300" t="s">
        <v>428</v>
      </c>
      <c r="C300" t="s">
        <v>54</v>
      </c>
      <c r="D300" t="s">
        <v>55</v>
      </c>
      <c r="E300">
        <v>10</v>
      </c>
      <c r="F300" t="s">
        <v>17</v>
      </c>
      <c r="G300">
        <v>8.43</v>
      </c>
      <c r="H300" t="str" cm="1">
        <f t="array" ref="H300">_xlfn.XLOOKUP(TRIM(C300),_xlfn.ANCHORARRAY($L$5),$M$5:$M$18)</f>
        <v>Fromag. Centrale</v>
      </c>
      <c r="I300" t="str">
        <v>Mozzarella</v>
      </c>
      <c r="J300">
        <f t="shared" si="9"/>
        <v>10</v>
      </c>
    </row>
    <row r="301" spans="1:10" x14ac:dyDescent="0.25">
      <c r="A301" t="s">
        <v>429</v>
      </c>
      <c r="B301" t="s">
        <v>430</v>
      </c>
      <c r="C301" t="s">
        <v>9</v>
      </c>
      <c r="D301" t="s">
        <v>10</v>
      </c>
      <c r="E301">
        <v>3</v>
      </c>
      <c r="F301" t="s">
        <v>11</v>
      </c>
      <c r="G301">
        <v>14.23</v>
      </c>
      <c r="H301" t="str" cm="1">
        <f t="array" ref="H301">_xlfn.XLOOKUP(TRIM(C301),_xlfn.ANCHORARRAY($L$5),$M$5:$M$18)</f>
        <v>Metro</v>
      </c>
      <c r="I301" t="str">
        <v>Coca Cola</v>
      </c>
      <c r="J301">
        <f t="shared" si="9"/>
        <v>3</v>
      </c>
    </row>
    <row r="302" spans="1:10" x14ac:dyDescent="0.25">
      <c r="A302" t="s">
        <v>431</v>
      </c>
      <c r="B302" t="s">
        <v>430</v>
      </c>
      <c r="C302" t="s">
        <v>13</v>
      </c>
      <c r="D302" t="s">
        <v>14</v>
      </c>
      <c r="E302">
        <v>5</v>
      </c>
      <c r="F302" t="s">
        <v>11</v>
      </c>
      <c r="G302">
        <v>13.15</v>
      </c>
      <c r="H302" t="str" cm="1">
        <f t="array" ref="H302">_xlfn.XLOOKUP(TRIM(C302),_xlfn.ANCHORARRAY($L$5),$M$5:$M$18)</f>
        <v>Metro</v>
      </c>
      <c r="I302" t="str">
        <v>7up</v>
      </c>
      <c r="J302">
        <f t="shared" si="9"/>
        <v>5</v>
      </c>
    </row>
    <row r="303" spans="1:10" x14ac:dyDescent="0.25">
      <c r="A303" t="s">
        <v>432</v>
      </c>
      <c r="B303" t="s">
        <v>430</v>
      </c>
      <c r="C303" t="s">
        <v>59</v>
      </c>
      <c r="D303" t="s">
        <v>16</v>
      </c>
      <c r="E303">
        <v>6</v>
      </c>
      <c r="F303" t="s">
        <v>17</v>
      </c>
      <c r="G303">
        <v>1.18</v>
      </c>
      <c r="H303" t="str" cm="1">
        <f t="array" ref="H303">_xlfn.XLOOKUP(TRIM(C303),_xlfn.ANCHORARRAY($L$5),$M$5:$M$18)</f>
        <v>Metro</v>
      </c>
      <c r="I303" t="str">
        <v>Sel</v>
      </c>
      <c r="J303">
        <f t="shared" si="9"/>
        <v>6</v>
      </c>
    </row>
    <row r="304" spans="1:10" x14ac:dyDescent="0.25">
      <c r="A304" t="s">
        <v>433</v>
      </c>
      <c r="B304" t="s">
        <v>430</v>
      </c>
      <c r="C304" t="s">
        <v>19</v>
      </c>
      <c r="D304" t="s">
        <v>20</v>
      </c>
      <c r="E304">
        <v>8</v>
      </c>
      <c r="F304" t="s">
        <v>21</v>
      </c>
      <c r="G304">
        <v>4.26</v>
      </c>
      <c r="H304" t="str" cm="1">
        <f t="array" ref="H304">_xlfn.XLOOKUP(TRIM(C304),_xlfn.ANCHORARRAY($L$5),$M$5:$M$18)</f>
        <v>LEGUMEX</v>
      </c>
      <c r="I304" t="str">
        <v>Tomates pelées</v>
      </c>
      <c r="J304">
        <f t="shared" si="9"/>
        <v>8</v>
      </c>
    </row>
    <row r="305" spans="1:10" x14ac:dyDescent="0.25">
      <c r="A305" t="s">
        <v>434</v>
      </c>
      <c r="B305" t="s">
        <v>430</v>
      </c>
      <c r="C305" t="s">
        <v>27</v>
      </c>
      <c r="D305" t="s">
        <v>24</v>
      </c>
      <c r="E305">
        <v>10</v>
      </c>
      <c r="F305" t="s">
        <v>25</v>
      </c>
      <c r="G305">
        <v>22.15</v>
      </c>
      <c r="H305" t="str" cm="1">
        <f t="array" ref="H305">_xlfn.XLOOKUP(TRIM(C305),_xlfn.ANCHORARRAY($L$5),$M$5:$M$18)</f>
        <v>LEGUMEX</v>
      </c>
      <c r="I305" t="str">
        <v>Huile olive</v>
      </c>
      <c r="J305">
        <f t="shared" si="9"/>
        <v>10</v>
      </c>
    </row>
    <row r="306" spans="1:10" x14ac:dyDescent="0.25">
      <c r="A306" t="s">
        <v>435</v>
      </c>
      <c r="B306" t="s">
        <v>430</v>
      </c>
      <c r="C306" t="s">
        <v>46</v>
      </c>
      <c r="D306" t="s">
        <v>28</v>
      </c>
      <c r="E306">
        <v>10</v>
      </c>
      <c r="F306" t="s">
        <v>29</v>
      </c>
      <c r="G306">
        <v>10.039999999999999</v>
      </c>
      <c r="H306" t="str" cm="1">
        <f t="array" ref="H306">_xlfn.XLOOKUP(TRIM(C306),_xlfn.ANCHORARRAY($L$5),$M$5:$M$18)</f>
        <v>LEGUMEX</v>
      </c>
      <c r="I306" t="str">
        <v>Sauce tomate</v>
      </c>
      <c r="J306">
        <f t="shared" si="9"/>
        <v>10</v>
      </c>
    </row>
    <row r="307" spans="1:10" x14ac:dyDescent="0.25">
      <c r="A307" t="s">
        <v>436</v>
      </c>
      <c r="B307" t="s">
        <v>437</v>
      </c>
      <c r="C307" t="s">
        <v>66</v>
      </c>
      <c r="D307" t="s">
        <v>33</v>
      </c>
      <c r="F307" t="s">
        <v>17</v>
      </c>
      <c r="G307">
        <v>9.02</v>
      </c>
      <c r="H307" t="str" cm="1">
        <f t="array" ref="H307">_xlfn.XLOOKUP(TRIM(C307),_xlfn.ANCHORARRAY($L$5),$M$5:$M$18)</f>
        <v>B. Halal Pro</v>
      </c>
      <c r="I307" t="str">
        <v>Viande hachée</v>
      </c>
      <c r="J307">
        <f t="shared" si="9"/>
        <v>6</v>
      </c>
    </row>
    <row r="308" spans="1:10" x14ac:dyDescent="0.25">
      <c r="A308" t="s">
        <v>438</v>
      </c>
      <c r="B308" t="s">
        <v>437</v>
      </c>
      <c r="C308" t="s">
        <v>32</v>
      </c>
      <c r="D308" t="s">
        <v>35</v>
      </c>
      <c r="E308">
        <v>12</v>
      </c>
      <c r="F308" t="s">
        <v>17</v>
      </c>
      <c r="G308">
        <v>6.82</v>
      </c>
      <c r="H308" t="str" cm="1">
        <f t="array" ref="H308">_xlfn.XLOOKUP(TRIM(C308),_xlfn.ANCHORARRAY($L$5),$M$5:$M$18)</f>
        <v>B. Halal Pro</v>
      </c>
      <c r="I308" t="str">
        <v>Poulet émincé</v>
      </c>
      <c r="J308">
        <f t="shared" si="9"/>
        <v>12</v>
      </c>
    </row>
    <row r="309" spans="1:10" x14ac:dyDescent="0.25">
      <c r="A309" t="s">
        <v>439</v>
      </c>
      <c r="B309" t="s">
        <v>437</v>
      </c>
      <c r="C309" t="s">
        <v>37</v>
      </c>
      <c r="D309" t="s">
        <v>38</v>
      </c>
      <c r="E309">
        <v>5</v>
      </c>
      <c r="F309" t="s">
        <v>39</v>
      </c>
      <c r="G309">
        <v>5.71</v>
      </c>
      <c r="H309" t="str" cm="1">
        <f t="array" ref="H309">_xlfn.XLOOKUP(TRIM(C309),_xlfn.ANCHORARRAY($L$5),$M$5:$M$18)</f>
        <v>Boul. Express</v>
      </c>
      <c r="I309" t="str">
        <v>Pain burger</v>
      </c>
      <c r="J309">
        <f t="shared" si="9"/>
        <v>5</v>
      </c>
    </row>
    <row r="310" spans="1:10" x14ac:dyDescent="0.25">
      <c r="A310" t="s">
        <v>440</v>
      </c>
      <c r="B310" t="s">
        <v>437</v>
      </c>
      <c r="C310" t="s">
        <v>69</v>
      </c>
      <c r="D310" t="s">
        <v>42</v>
      </c>
      <c r="E310">
        <v>12</v>
      </c>
      <c r="F310" t="s">
        <v>43</v>
      </c>
      <c r="G310">
        <v>3.94</v>
      </c>
      <c r="H310" t="str" cm="1">
        <f t="array" ref="H310">_xlfn.XLOOKUP(TRIM(C310),_xlfn.ANCHORARRAY($L$5),$M$5:$M$18)</f>
        <v>Boul. Express</v>
      </c>
      <c r="I310" t="str">
        <v>Pain pita</v>
      </c>
      <c r="J310">
        <f t="shared" si="9"/>
        <v>12</v>
      </c>
    </row>
    <row r="311" spans="1:10" x14ac:dyDescent="0.25">
      <c r="A311" t="s">
        <v>441</v>
      </c>
      <c r="B311" t="s">
        <v>442</v>
      </c>
      <c r="C311" t="s">
        <v>46</v>
      </c>
      <c r="D311" t="s">
        <v>20</v>
      </c>
      <c r="E311">
        <v>6</v>
      </c>
      <c r="F311" t="s">
        <v>21</v>
      </c>
      <c r="G311">
        <v>4.1100000000000003</v>
      </c>
      <c r="H311" t="str" cm="1">
        <f t="array" ref="H311">_xlfn.XLOOKUP(TRIM(C311),_xlfn.ANCHORARRAY($L$5),$M$5:$M$18)</f>
        <v>LEGUMEX</v>
      </c>
      <c r="I311" t="str">
        <v>Tomates pelées</v>
      </c>
      <c r="J311">
        <f t="shared" si="9"/>
        <v>6</v>
      </c>
    </row>
    <row r="312" spans="1:10" x14ac:dyDescent="0.25">
      <c r="A312" t="s">
        <v>443</v>
      </c>
      <c r="B312" t="s">
        <v>442</v>
      </c>
      <c r="C312" t="s">
        <v>27</v>
      </c>
      <c r="D312" t="s">
        <v>24</v>
      </c>
      <c r="E312">
        <v>6</v>
      </c>
      <c r="F312" t="s">
        <v>25</v>
      </c>
      <c r="G312">
        <v>22.42</v>
      </c>
      <c r="H312" t="str" cm="1">
        <f t="array" ref="H312">_xlfn.XLOOKUP(TRIM(C312),_xlfn.ANCHORARRAY($L$5),$M$5:$M$18)</f>
        <v>LEGUMEX</v>
      </c>
      <c r="I312" t="str">
        <v>Huile olive</v>
      </c>
      <c r="J312">
        <f t="shared" si="9"/>
        <v>6</v>
      </c>
    </row>
    <row r="313" spans="1:10" x14ac:dyDescent="0.25">
      <c r="A313" t="s">
        <v>444</v>
      </c>
      <c r="B313" t="s">
        <v>442</v>
      </c>
      <c r="C313" t="s">
        <v>46</v>
      </c>
      <c r="D313" t="s">
        <v>28</v>
      </c>
      <c r="E313">
        <v>6</v>
      </c>
      <c r="F313" t="s">
        <v>29</v>
      </c>
      <c r="G313">
        <v>9.76</v>
      </c>
      <c r="H313" t="str" cm="1">
        <f t="array" ref="H313">_xlfn.XLOOKUP(TRIM(C313),_xlfn.ANCHORARRAY($L$5),$M$5:$M$18)</f>
        <v>LEGUMEX</v>
      </c>
      <c r="I313" t="str">
        <v>Sauce tomate</v>
      </c>
      <c r="J313">
        <f t="shared" si="9"/>
        <v>6</v>
      </c>
    </row>
    <row r="314" spans="1:10" x14ac:dyDescent="0.25">
      <c r="A314" t="s">
        <v>445</v>
      </c>
      <c r="B314" t="s">
        <v>442</v>
      </c>
      <c r="C314" t="s">
        <v>152</v>
      </c>
      <c r="D314" t="s">
        <v>51</v>
      </c>
      <c r="E314">
        <v>2</v>
      </c>
      <c r="F314" t="s">
        <v>52</v>
      </c>
      <c r="G314">
        <v>18.190000000000001</v>
      </c>
      <c r="H314" t="str" cm="1">
        <f t="array" ref="H314">_xlfn.XLOOKUP(TRIM(C314),_xlfn.ANCHORARRAY($L$5),$M$5:$M$18)</f>
        <v>Moulin du Nord</v>
      </c>
      <c r="I314" t="str">
        <v>Farine</v>
      </c>
      <c r="J314">
        <f t="shared" si="9"/>
        <v>2</v>
      </c>
    </row>
    <row r="315" spans="1:10" x14ac:dyDescent="0.25">
      <c r="A315" t="s">
        <v>446</v>
      </c>
      <c r="B315" t="s">
        <v>442</v>
      </c>
      <c r="C315" t="s">
        <v>154</v>
      </c>
      <c r="D315" t="s">
        <v>55</v>
      </c>
      <c r="E315">
        <v>10</v>
      </c>
      <c r="F315" t="s">
        <v>17</v>
      </c>
      <c r="G315">
        <v>8.6199999999999992</v>
      </c>
      <c r="H315" t="str" cm="1">
        <f t="array" ref="H315">_xlfn.XLOOKUP(TRIM(C315),_xlfn.ANCHORARRAY($L$5),$M$5:$M$18)</f>
        <v>Fromag. Centrale</v>
      </c>
      <c r="I315" t="str">
        <v>Mozzarella</v>
      </c>
      <c r="J315">
        <f t="shared" si="9"/>
        <v>10</v>
      </c>
    </row>
    <row r="316" spans="1:10" x14ac:dyDescent="0.25">
      <c r="A316" t="s">
        <v>447</v>
      </c>
      <c r="B316" t="s">
        <v>448</v>
      </c>
      <c r="C316" t="s">
        <v>61</v>
      </c>
      <c r="D316" t="s">
        <v>10</v>
      </c>
      <c r="E316">
        <v>6</v>
      </c>
      <c r="F316" t="s">
        <v>11</v>
      </c>
      <c r="G316">
        <v>14.85</v>
      </c>
      <c r="H316" t="str" cm="1">
        <f t="array" ref="H316">_xlfn.XLOOKUP(TRIM(C316),_xlfn.ANCHORARRAY($L$5),$M$5:$M$18)</f>
        <v>Metro</v>
      </c>
      <c r="I316" t="str">
        <v>Coca Cola</v>
      </c>
      <c r="J316">
        <f t="shared" si="9"/>
        <v>6</v>
      </c>
    </row>
    <row r="317" spans="1:10" x14ac:dyDescent="0.25">
      <c r="A317" t="s">
        <v>449</v>
      </c>
      <c r="B317" t="s">
        <v>448</v>
      </c>
      <c r="C317" t="s">
        <v>61</v>
      </c>
      <c r="D317" t="s">
        <v>14</v>
      </c>
      <c r="E317">
        <v>5</v>
      </c>
      <c r="F317" t="s">
        <v>11</v>
      </c>
      <c r="G317">
        <v>13.83</v>
      </c>
      <c r="H317" t="str" cm="1">
        <f t="array" ref="H317">_xlfn.XLOOKUP(TRIM(C317),_xlfn.ANCHORARRAY($L$5),$M$5:$M$18)</f>
        <v>Metro</v>
      </c>
      <c r="I317" t="str">
        <v>7up</v>
      </c>
      <c r="J317">
        <f t="shared" si="9"/>
        <v>5</v>
      </c>
    </row>
    <row r="318" spans="1:10" x14ac:dyDescent="0.25">
      <c r="A318" t="s">
        <v>450</v>
      </c>
      <c r="B318" t="s">
        <v>448</v>
      </c>
      <c r="C318" t="s">
        <v>13</v>
      </c>
      <c r="D318" t="s">
        <v>16</v>
      </c>
      <c r="E318">
        <v>6</v>
      </c>
      <c r="F318" t="s">
        <v>17</v>
      </c>
      <c r="G318">
        <v>1.17</v>
      </c>
      <c r="H318" t="str" cm="1">
        <f t="array" ref="H318">_xlfn.XLOOKUP(TRIM(C318),_xlfn.ANCHORARRAY($L$5),$M$5:$M$18)</f>
        <v>Metro</v>
      </c>
      <c r="I318" t="str">
        <v>Sel</v>
      </c>
      <c r="J318">
        <f t="shared" si="9"/>
        <v>6</v>
      </c>
    </row>
    <row r="319" spans="1:10" x14ac:dyDescent="0.25">
      <c r="A319" t="s">
        <v>451</v>
      </c>
      <c r="B319" t="s">
        <v>452</v>
      </c>
      <c r="C319" t="s">
        <v>32</v>
      </c>
      <c r="D319" t="s">
        <v>33</v>
      </c>
      <c r="E319">
        <v>12</v>
      </c>
      <c r="F319" t="s">
        <v>17</v>
      </c>
      <c r="G319">
        <v>10.18</v>
      </c>
      <c r="H319" t="str" cm="1">
        <f t="array" ref="H319">_xlfn.XLOOKUP(TRIM(C319),_xlfn.ANCHORARRAY($L$5),$M$5:$M$18)</f>
        <v>B. Halal Pro</v>
      </c>
      <c r="I319" t="str">
        <v>Viande hachée</v>
      </c>
      <c r="J319">
        <f t="shared" si="9"/>
        <v>12</v>
      </c>
    </row>
    <row r="320" spans="1:10" x14ac:dyDescent="0.25">
      <c r="A320" t="s">
        <v>453</v>
      </c>
      <c r="B320" t="s">
        <v>452</v>
      </c>
      <c r="C320" t="s">
        <v>64</v>
      </c>
      <c r="D320" t="s">
        <v>35</v>
      </c>
      <c r="F320" t="s">
        <v>17</v>
      </c>
      <c r="G320">
        <v>6.98</v>
      </c>
      <c r="H320" t="str" cm="1">
        <f t="array" ref="H320">_xlfn.XLOOKUP(TRIM(C320),_xlfn.ANCHORARRAY($L$5),$M$5:$M$18)</f>
        <v>B. Halal Pro</v>
      </c>
      <c r="I320" t="str">
        <v>Poulet émincé</v>
      </c>
      <c r="J320">
        <f t="shared" si="9"/>
        <v>6</v>
      </c>
    </row>
    <row r="321" spans="1:10" x14ac:dyDescent="0.25">
      <c r="A321" t="s">
        <v>454</v>
      </c>
      <c r="B321" t="s">
        <v>452</v>
      </c>
      <c r="C321" t="s">
        <v>37</v>
      </c>
      <c r="D321" t="s">
        <v>38</v>
      </c>
      <c r="E321">
        <v>5</v>
      </c>
      <c r="F321" t="s">
        <v>39</v>
      </c>
      <c r="G321">
        <v>5.97</v>
      </c>
      <c r="H321" t="str" cm="1">
        <f t="array" ref="H321">_xlfn.XLOOKUP(TRIM(C321),_xlfn.ANCHORARRAY($L$5),$M$5:$M$18)</f>
        <v>Boul. Express</v>
      </c>
      <c r="I321" t="str">
        <v>Pain burger</v>
      </c>
      <c r="J321">
        <f t="shared" si="9"/>
        <v>5</v>
      </c>
    </row>
    <row r="322" spans="1:10" x14ac:dyDescent="0.25">
      <c r="A322" t="s">
        <v>455</v>
      </c>
      <c r="B322" t="s">
        <v>452</v>
      </c>
      <c r="C322" t="s">
        <v>41</v>
      </c>
      <c r="D322" t="s">
        <v>42</v>
      </c>
      <c r="E322">
        <v>12</v>
      </c>
      <c r="F322" t="s">
        <v>43</v>
      </c>
      <c r="G322">
        <v>3.97</v>
      </c>
      <c r="H322" t="str" cm="1">
        <f t="array" ref="H322">_xlfn.XLOOKUP(TRIM(C322),_xlfn.ANCHORARRAY($L$5),$M$5:$M$18)</f>
        <v>Boul. Express</v>
      </c>
      <c r="I322" t="str">
        <v>Pain pita</v>
      </c>
      <c r="J322">
        <f t="shared" ref="J322:J385" si="10">IF(E322&lt;&gt;0,E322,_xlfn.XLOOKUP(I322,$Q$5:$Q$16,$Y$5:$Y$16))</f>
        <v>12</v>
      </c>
    </row>
    <row r="323" spans="1:10" x14ac:dyDescent="0.25">
      <c r="A323" t="s">
        <v>456</v>
      </c>
      <c r="B323" t="s">
        <v>457</v>
      </c>
      <c r="C323" t="s">
        <v>154</v>
      </c>
      <c r="D323" t="s">
        <v>55</v>
      </c>
      <c r="E323">
        <v>6</v>
      </c>
      <c r="F323" t="s">
        <v>17</v>
      </c>
      <c r="G323">
        <v>9.01</v>
      </c>
      <c r="H323" t="str" cm="1">
        <f t="array" ref="H323">_xlfn.XLOOKUP(TRIM(C323),_xlfn.ANCHORARRAY($L$5),$M$5:$M$18)</f>
        <v>Fromag. Centrale</v>
      </c>
      <c r="I323" t="str">
        <v>Mozzarella</v>
      </c>
      <c r="J323">
        <f t="shared" si="10"/>
        <v>6</v>
      </c>
    </row>
    <row r="324" spans="1:10" x14ac:dyDescent="0.25">
      <c r="A324" t="s">
        <v>458</v>
      </c>
      <c r="B324" t="s">
        <v>459</v>
      </c>
      <c r="C324" t="s">
        <v>59</v>
      </c>
      <c r="D324" t="s">
        <v>10</v>
      </c>
      <c r="E324">
        <v>4</v>
      </c>
      <c r="F324" t="s">
        <v>11</v>
      </c>
      <c r="G324">
        <v>15.21</v>
      </c>
      <c r="H324" t="str" cm="1">
        <f t="array" ref="H324">_xlfn.XLOOKUP(TRIM(C324),_xlfn.ANCHORARRAY($L$5),$M$5:$M$18)</f>
        <v>Metro</v>
      </c>
      <c r="I324" t="str">
        <v>Coca Cola</v>
      </c>
      <c r="J324">
        <f t="shared" si="10"/>
        <v>4</v>
      </c>
    </row>
    <row r="325" spans="1:10" x14ac:dyDescent="0.25">
      <c r="A325" t="s">
        <v>460</v>
      </c>
      <c r="B325" t="s">
        <v>459</v>
      </c>
      <c r="C325" t="s">
        <v>97</v>
      </c>
      <c r="D325" t="s">
        <v>14</v>
      </c>
      <c r="E325">
        <v>3</v>
      </c>
      <c r="F325" t="s">
        <v>11</v>
      </c>
      <c r="G325">
        <v>13.4</v>
      </c>
      <c r="H325" t="str" cm="1">
        <f t="array" ref="H325">_xlfn.XLOOKUP(TRIM(C325),_xlfn.ANCHORARRAY($L$5),$M$5:$M$18)</f>
        <v>Metro</v>
      </c>
      <c r="I325" t="str">
        <v>7up</v>
      </c>
      <c r="J325">
        <f t="shared" si="10"/>
        <v>3</v>
      </c>
    </row>
    <row r="326" spans="1:10" x14ac:dyDescent="0.25">
      <c r="A326" t="s">
        <v>461</v>
      </c>
      <c r="B326" t="s">
        <v>459</v>
      </c>
      <c r="C326" t="s">
        <v>13</v>
      </c>
      <c r="D326" t="s">
        <v>16</v>
      </c>
      <c r="E326">
        <v>6</v>
      </c>
      <c r="F326" t="s">
        <v>17</v>
      </c>
      <c r="G326">
        <v>1.27</v>
      </c>
      <c r="H326" t="str" cm="1">
        <f t="array" ref="H326">_xlfn.XLOOKUP(TRIM(C326),_xlfn.ANCHORARRAY($L$5),$M$5:$M$18)</f>
        <v>Metro</v>
      </c>
      <c r="I326" t="str">
        <v>Sel</v>
      </c>
      <c r="J326">
        <f t="shared" si="10"/>
        <v>6</v>
      </c>
    </row>
    <row r="327" spans="1:10" x14ac:dyDescent="0.25">
      <c r="A327" t="s">
        <v>462</v>
      </c>
      <c r="B327" t="s">
        <v>459</v>
      </c>
      <c r="C327" t="s">
        <v>19</v>
      </c>
      <c r="D327" t="s">
        <v>20</v>
      </c>
      <c r="E327">
        <v>8</v>
      </c>
      <c r="F327" t="s">
        <v>21</v>
      </c>
      <c r="G327">
        <v>4.1900000000000004</v>
      </c>
      <c r="H327" t="str" cm="1">
        <f t="array" ref="H327">_xlfn.XLOOKUP(TRIM(C327),_xlfn.ANCHORARRAY($L$5),$M$5:$M$18)</f>
        <v>LEGUMEX</v>
      </c>
      <c r="I327" t="str">
        <v>Tomates pelées</v>
      </c>
      <c r="J327">
        <f t="shared" si="10"/>
        <v>8</v>
      </c>
    </row>
    <row r="328" spans="1:10" x14ac:dyDescent="0.25">
      <c r="A328" t="s">
        <v>463</v>
      </c>
      <c r="B328" t="s">
        <v>459</v>
      </c>
      <c r="C328" t="s">
        <v>46</v>
      </c>
      <c r="D328" t="s">
        <v>24</v>
      </c>
      <c r="E328">
        <v>4</v>
      </c>
      <c r="F328" t="s">
        <v>25</v>
      </c>
      <c r="G328">
        <v>22.84</v>
      </c>
      <c r="H328" t="str" cm="1">
        <f t="array" ref="H328">_xlfn.XLOOKUP(TRIM(C328),_xlfn.ANCHORARRAY($L$5),$M$5:$M$18)</f>
        <v>LEGUMEX</v>
      </c>
      <c r="I328" t="str">
        <v>Huile olive</v>
      </c>
      <c r="J328">
        <f t="shared" si="10"/>
        <v>4</v>
      </c>
    </row>
    <row r="329" spans="1:10" x14ac:dyDescent="0.25">
      <c r="A329" t="s">
        <v>464</v>
      </c>
      <c r="B329" t="s">
        <v>459</v>
      </c>
      <c r="C329" t="s">
        <v>46</v>
      </c>
      <c r="D329" t="s">
        <v>28</v>
      </c>
      <c r="E329">
        <v>4</v>
      </c>
      <c r="F329" t="s">
        <v>29</v>
      </c>
      <c r="G329">
        <v>9.39</v>
      </c>
      <c r="H329" t="str" cm="1">
        <f t="array" ref="H329">_xlfn.XLOOKUP(TRIM(C329),_xlfn.ANCHORARRAY($L$5),$M$5:$M$18)</f>
        <v>LEGUMEX</v>
      </c>
      <c r="I329" t="str">
        <v>Sauce tomate</v>
      </c>
      <c r="J329">
        <f t="shared" si="10"/>
        <v>4</v>
      </c>
    </row>
    <row r="330" spans="1:10" x14ac:dyDescent="0.25">
      <c r="A330" t="s">
        <v>465</v>
      </c>
      <c r="B330" t="s">
        <v>466</v>
      </c>
      <c r="C330" t="s">
        <v>66</v>
      </c>
      <c r="D330" t="s">
        <v>33</v>
      </c>
      <c r="E330">
        <v>12</v>
      </c>
      <c r="F330" t="s">
        <v>17</v>
      </c>
      <c r="G330">
        <v>9.01</v>
      </c>
      <c r="H330" t="str" cm="1">
        <f t="array" ref="H330">_xlfn.XLOOKUP(TRIM(C330),_xlfn.ANCHORARRAY($L$5),$M$5:$M$18)</f>
        <v>B. Halal Pro</v>
      </c>
      <c r="I330" t="str">
        <v>Viande hachée</v>
      </c>
      <c r="J330">
        <f t="shared" si="10"/>
        <v>12</v>
      </c>
    </row>
    <row r="331" spans="1:10" x14ac:dyDescent="0.25">
      <c r="A331" t="s">
        <v>467</v>
      </c>
      <c r="B331" t="s">
        <v>466</v>
      </c>
      <c r="C331" t="s">
        <v>32</v>
      </c>
      <c r="D331" t="s">
        <v>35</v>
      </c>
      <c r="E331">
        <v>6</v>
      </c>
      <c r="F331" t="s">
        <v>17</v>
      </c>
      <c r="G331">
        <v>6.72</v>
      </c>
      <c r="H331" t="str" cm="1">
        <f t="array" ref="H331">_xlfn.XLOOKUP(TRIM(C331),_xlfn.ANCHORARRAY($L$5),$M$5:$M$18)</f>
        <v>B. Halal Pro</v>
      </c>
      <c r="I331" t="str">
        <v>Poulet émincé</v>
      </c>
      <c r="J331">
        <f t="shared" si="10"/>
        <v>6</v>
      </c>
    </row>
    <row r="332" spans="1:10" x14ac:dyDescent="0.25">
      <c r="A332" t="s">
        <v>468</v>
      </c>
      <c r="B332" t="s">
        <v>466</v>
      </c>
      <c r="C332" t="s">
        <v>37</v>
      </c>
      <c r="D332" t="s">
        <v>38</v>
      </c>
      <c r="E332">
        <v>12</v>
      </c>
      <c r="F332" t="s">
        <v>39</v>
      </c>
      <c r="G332">
        <v>6.02</v>
      </c>
      <c r="H332" t="str" cm="1">
        <f t="array" ref="H332">_xlfn.XLOOKUP(TRIM(C332),_xlfn.ANCHORARRAY($L$5),$M$5:$M$18)</f>
        <v>Boul. Express</v>
      </c>
      <c r="I332" t="str">
        <v>Pain burger</v>
      </c>
      <c r="J332">
        <f t="shared" si="10"/>
        <v>12</v>
      </c>
    </row>
    <row r="333" spans="1:10" x14ac:dyDescent="0.25">
      <c r="A333" t="s">
        <v>469</v>
      </c>
      <c r="B333" t="s">
        <v>466</v>
      </c>
      <c r="C333" t="s">
        <v>41</v>
      </c>
      <c r="D333" t="s">
        <v>42</v>
      </c>
      <c r="E333">
        <v>12</v>
      </c>
      <c r="F333" t="s">
        <v>43</v>
      </c>
      <c r="G333">
        <v>3.89</v>
      </c>
      <c r="H333" t="str" cm="1">
        <f t="array" ref="H333">_xlfn.XLOOKUP(TRIM(C333),_xlfn.ANCHORARRAY($L$5),$M$5:$M$18)</f>
        <v>Boul. Express</v>
      </c>
      <c r="I333" t="str">
        <v>Pain pita</v>
      </c>
      <c r="J333">
        <f t="shared" si="10"/>
        <v>12</v>
      </c>
    </row>
    <row r="334" spans="1:10" x14ac:dyDescent="0.25">
      <c r="A334" t="s">
        <v>470</v>
      </c>
      <c r="B334" t="s">
        <v>471</v>
      </c>
      <c r="C334" t="s">
        <v>46</v>
      </c>
      <c r="D334" t="s">
        <v>20</v>
      </c>
      <c r="E334">
        <v>4</v>
      </c>
      <c r="F334" t="s">
        <v>21</v>
      </c>
      <c r="G334">
        <v>4.43</v>
      </c>
      <c r="H334" t="str" cm="1">
        <f t="array" ref="H334">_xlfn.XLOOKUP(TRIM(C334),_xlfn.ANCHORARRAY($L$5),$M$5:$M$18)</f>
        <v>LEGUMEX</v>
      </c>
      <c r="I334" t="str">
        <v>Tomates pelées</v>
      </c>
      <c r="J334">
        <f t="shared" si="10"/>
        <v>4</v>
      </c>
    </row>
    <row r="335" spans="1:10" x14ac:dyDescent="0.25">
      <c r="A335" t="s">
        <v>472</v>
      </c>
      <c r="B335" t="s">
        <v>471</v>
      </c>
      <c r="C335" t="s">
        <v>23</v>
      </c>
      <c r="D335" t="s">
        <v>24</v>
      </c>
      <c r="E335">
        <v>4</v>
      </c>
      <c r="F335" t="s">
        <v>25</v>
      </c>
      <c r="G335">
        <v>22.35</v>
      </c>
      <c r="H335" t="str" cm="1">
        <f t="array" ref="H335">_xlfn.XLOOKUP(TRIM(C335),_xlfn.ANCHORARRAY($L$5),$M$5:$M$18)</f>
        <v>LEGUMEX</v>
      </c>
      <c r="I335" t="str">
        <v>Huile olive</v>
      </c>
      <c r="J335">
        <f t="shared" si="10"/>
        <v>4</v>
      </c>
    </row>
    <row r="336" spans="1:10" x14ac:dyDescent="0.25">
      <c r="A336" t="s">
        <v>473</v>
      </c>
      <c r="B336" t="s">
        <v>471</v>
      </c>
      <c r="C336" t="s">
        <v>19</v>
      </c>
      <c r="D336" t="s">
        <v>28</v>
      </c>
      <c r="E336">
        <v>8</v>
      </c>
      <c r="F336" t="s">
        <v>29</v>
      </c>
      <c r="G336">
        <v>10.52</v>
      </c>
      <c r="H336" t="str" cm="1">
        <f t="array" ref="H336">_xlfn.XLOOKUP(TRIM(C336),_xlfn.ANCHORARRAY($L$5),$M$5:$M$18)</f>
        <v>LEGUMEX</v>
      </c>
      <c r="I336" t="str">
        <v>Sauce tomate</v>
      </c>
      <c r="J336">
        <f t="shared" si="10"/>
        <v>8</v>
      </c>
    </row>
    <row r="337" spans="1:10" x14ac:dyDescent="0.25">
      <c r="A337" t="s">
        <v>474</v>
      </c>
      <c r="B337" t="s">
        <v>471</v>
      </c>
      <c r="C337" t="s">
        <v>50</v>
      </c>
      <c r="D337" t="s">
        <v>51</v>
      </c>
      <c r="E337">
        <v>2</v>
      </c>
      <c r="F337" t="s">
        <v>52</v>
      </c>
      <c r="G337">
        <v>18.079999999999998</v>
      </c>
      <c r="H337" t="str" cm="1">
        <f t="array" ref="H337">_xlfn.XLOOKUP(TRIM(C337),_xlfn.ANCHORARRAY($L$5),$M$5:$M$18)</f>
        <v>Moulin du Nord</v>
      </c>
      <c r="I337" t="str">
        <v>Farine</v>
      </c>
      <c r="J337">
        <f t="shared" si="10"/>
        <v>2</v>
      </c>
    </row>
    <row r="338" spans="1:10" x14ac:dyDescent="0.25">
      <c r="A338" t="s">
        <v>475</v>
      </c>
      <c r="B338" t="s">
        <v>471</v>
      </c>
      <c r="C338" t="s">
        <v>54</v>
      </c>
      <c r="D338" t="s">
        <v>55</v>
      </c>
      <c r="E338">
        <v>4</v>
      </c>
      <c r="F338" t="s">
        <v>17</v>
      </c>
      <c r="G338">
        <v>9.57</v>
      </c>
      <c r="H338" t="str" cm="1">
        <f t="array" ref="H338">_xlfn.XLOOKUP(TRIM(C338),_xlfn.ANCHORARRAY($L$5),$M$5:$M$18)</f>
        <v>Fromag. Centrale</v>
      </c>
      <c r="I338" t="str">
        <v>Mozzarella</v>
      </c>
      <c r="J338">
        <f t="shared" si="10"/>
        <v>4</v>
      </c>
    </row>
    <row r="339" spans="1:10" x14ac:dyDescent="0.25">
      <c r="A339" t="s">
        <v>476</v>
      </c>
      <c r="B339" t="s">
        <v>477</v>
      </c>
      <c r="C339" t="s">
        <v>61</v>
      </c>
      <c r="D339" t="s">
        <v>10</v>
      </c>
      <c r="E339">
        <v>3</v>
      </c>
      <c r="F339" t="s">
        <v>11</v>
      </c>
      <c r="G339">
        <v>14.83</v>
      </c>
      <c r="H339" t="str" cm="1">
        <f t="array" ref="H339">_xlfn.XLOOKUP(TRIM(C339),_xlfn.ANCHORARRAY($L$5),$M$5:$M$18)</f>
        <v>Metro</v>
      </c>
      <c r="I339" t="str">
        <v>Coca Cola</v>
      </c>
      <c r="J339">
        <f t="shared" si="10"/>
        <v>3</v>
      </c>
    </row>
    <row r="340" spans="1:10" x14ac:dyDescent="0.25">
      <c r="A340" t="s">
        <v>478</v>
      </c>
      <c r="B340" t="s">
        <v>477</v>
      </c>
      <c r="C340" t="s">
        <v>61</v>
      </c>
      <c r="D340" t="s">
        <v>14</v>
      </c>
      <c r="E340">
        <v>4</v>
      </c>
      <c r="F340" t="s">
        <v>11</v>
      </c>
      <c r="G340">
        <v>13.51</v>
      </c>
      <c r="H340" t="str" cm="1">
        <f t="array" ref="H340">_xlfn.XLOOKUP(TRIM(C340),_xlfn.ANCHORARRAY($L$5),$M$5:$M$18)</f>
        <v>Metro</v>
      </c>
      <c r="I340" t="str">
        <v>7up</v>
      </c>
      <c r="J340">
        <f t="shared" si="10"/>
        <v>4</v>
      </c>
    </row>
    <row r="341" spans="1:10" x14ac:dyDescent="0.25">
      <c r="A341" t="s">
        <v>479</v>
      </c>
      <c r="B341" t="s">
        <v>477</v>
      </c>
      <c r="C341" t="s">
        <v>13</v>
      </c>
      <c r="D341" t="s">
        <v>16</v>
      </c>
      <c r="E341">
        <v>4</v>
      </c>
      <c r="F341" t="s">
        <v>17</v>
      </c>
      <c r="G341">
        <v>1.24</v>
      </c>
      <c r="H341" t="str" cm="1">
        <f t="array" ref="H341">_xlfn.XLOOKUP(TRIM(C341),_xlfn.ANCHORARRAY($L$5),$M$5:$M$18)</f>
        <v>Metro</v>
      </c>
      <c r="I341" t="str">
        <v>Sel</v>
      </c>
      <c r="J341">
        <f t="shared" si="10"/>
        <v>4</v>
      </c>
    </row>
    <row r="342" spans="1:10" x14ac:dyDescent="0.25">
      <c r="A342" t="s">
        <v>480</v>
      </c>
      <c r="B342" t="s">
        <v>481</v>
      </c>
      <c r="C342" t="s">
        <v>32</v>
      </c>
      <c r="D342" t="s">
        <v>33</v>
      </c>
      <c r="E342">
        <v>6</v>
      </c>
      <c r="F342" t="s">
        <v>17</v>
      </c>
      <c r="G342">
        <v>9.9</v>
      </c>
      <c r="H342" t="str" cm="1">
        <f t="array" ref="H342">_xlfn.XLOOKUP(TRIM(C342),_xlfn.ANCHORARRAY($L$5),$M$5:$M$18)</f>
        <v>B. Halal Pro</v>
      </c>
      <c r="I342" t="str">
        <v>Viande hachée</v>
      </c>
      <c r="J342">
        <f t="shared" si="10"/>
        <v>6</v>
      </c>
    </row>
    <row r="343" spans="1:10" x14ac:dyDescent="0.25">
      <c r="A343" t="s">
        <v>482</v>
      </c>
      <c r="B343" t="s">
        <v>481</v>
      </c>
      <c r="C343" t="s">
        <v>32</v>
      </c>
      <c r="D343" t="s">
        <v>35</v>
      </c>
      <c r="E343">
        <v>10</v>
      </c>
      <c r="F343" t="s">
        <v>17</v>
      </c>
      <c r="G343">
        <v>7.49</v>
      </c>
      <c r="H343" t="str" cm="1">
        <f t="array" ref="H343">_xlfn.XLOOKUP(TRIM(C343),_xlfn.ANCHORARRAY($L$5),$M$5:$M$18)</f>
        <v>B. Halal Pro</v>
      </c>
      <c r="I343" t="str">
        <v>Poulet émincé</v>
      </c>
      <c r="J343">
        <f t="shared" si="10"/>
        <v>10</v>
      </c>
    </row>
    <row r="344" spans="1:10" x14ac:dyDescent="0.25">
      <c r="A344" t="s">
        <v>483</v>
      </c>
      <c r="B344" t="s">
        <v>481</v>
      </c>
      <c r="C344" t="s">
        <v>83</v>
      </c>
      <c r="D344" t="s">
        <v>38</v>
      </c>
      <c r="E344">
        <v>12</v>
      </c>
      <c r="F344" t="s">
        <v>39</v>
      </c>
      <c r="G344">
        <v>5.79</v>
      </c>
      <c r="H344" t="str" cm="1">
        <f t="array" ref="H344">_xlfn.XLOOKUP(TRIM(C344),_xlfn.ANCHORARRAY($L$5),$M$5:$M$18)</f>
        <v>Boul. Express</v>
      </c>
      <c r="I344" t="str">
        <v>Pain burger</v>
      </c>
      <c r="J344">
        <f t="shared" si="10"/>
        <v>12</v>
      </c>
    </row>
    <row r="345" spans="1:10" x14ac:dyDescent="0.25">
      <c r="A345" t="s">
        <v>484</v>
      </c>
      <c r="B345" t="s">
        <v>481</v>
      </c>
      <c r="C345" t="s">
        <v>83</v>
      </c>
      <c r="D345" t="s">
        <v>42</v>
      </c>
      <c r="E345">
        <v>12</v>
      </c>
      <c r="F345" t="s">
        <v>43</v>
      </c>
      <c r="G345">
        <v>3.91</v>
      </c>
      <c r="H345" t="str" cm="1">
        <f t="array" ref="H345">_xlfn.XLOOKUP(TRIM(C345),_xlfn.ANCHORARRAY($L$5),$M$5:$M$18)</f>
        <v>Boul. Express</v>
      </c>
      <c r="I345" t="str">
        <v>Pain pita</v>
      </c>
      <c r="J345">
        <f t="shared" si="10"/>
        <v>12</v>
      </c>
    </row>
    <row r="346" spans="1:10" x14ac:dyDescent="0.25">
      <c r="A346" t="s">
        <v>485</v>
      </c>
      <c r="B346" t="s">
        <v>486</v>
      </c>
      <c r="C346" t="s">
        <v>54</v>
      </c>
      <c r="D346" t="s">
        <v>55</v>
      </c>
      <c r="E346">
        <v>10</v>
      </c>
      <c r="F346" t="s">
        <v>17</v>
      </c>
      <c r="G346">
        <v>9.4700000000000006</v>
      </c>
      <c r="H346" t="str" cm="1">
        <f t="array" ref="H346">_xlfn.XLOOKUP(TRIM(C346),_xlfn.ANCHORARRAY($L$5),$M$5:$M$18)</f>
        <v>Fromag. Centrale</v>
      </c>
      <c r="I346" t="str">
        <v>Mozzarella</v>
      </c>
      <c r="J346">
        <f t="shared" si="10"/>
        <v>10</v>
      </c>
    </row>
    <row r="347" spans="1:10" x14ac:dyDescent="0.25">
      <c r="A347" t="s">
        <v>487</v>
      </c>
      <c r="B347" t="s">
        <v>488</v>
      </c>
      <c r="C347" t="s">
        <v>13</v>
      </c>
      <c r="D347" t="s">
        <v>10</v>
      </c>
      <c r="E347">
        <v>4</v>
      </c>
      <c r="F347" t="s">
        <v>11</v>
      </c>
      <c r="G347">
        <v>15.1</v>
      </c>
      <c r="H347" t="str" cm="1">
        <f t="array" ref="H347">_xlfn.XLOOKUP(TRIM(C347),_xlfn.ANCHORARRAY($L$5),$M$5:$M$18)</f>
        <v>Metro</v>
      </c>
      <c r="I347" t="str">
        <v>Coca Cola</v>
      </c>
      <c r="J347">
        <f t="shared" si="10"/>
        <v>4</v>
      </c>
    </row>
    <row r="348" spans="1:10" x14ac:dyDescent="0.25">
      <c r="A348" t="s">
        <v>489</v>
      </c>
      <c r="B348" t="s">
        <v>488</v>
      </c>
      <c r="C348" t="s">
        <v>59</v>
      </c>
      <c r="D348" t="s">
        <v>14</v>
      </c>
      <c r="E348">
        <v>5</v>
      </c>
      <c r="F348" t="s">
        <v>11</v>
      </c>
      <c r="G348">
        <v>13.46</v>
      </c>
      <c r="H348" t="str" cm="1">
        <f t="array" ref="H348">_xlfn.XLOOKUP(TRIM(C348),_xlfn.ANCHORARRAY($L$5),$M$5:$M$18)</f>
        <v>Metro</v>
      </c>
      <c r="I348" t="str">
        <v>7up</v>
      </c>
      <c r="J348">
        <f t="shared" si="10"/>
        <v>5</v>
      </c>
    </row>
    <row r="349" spans="1:10" x14ac:dyDescent="0.25">
      <c r="A349" t="s">
        <v>490</v>
      </c>
      <c r="B349" t="s">
        <v>488</v>
      </c>
      <c r="C349" t="s">
        <v>61</v>
      </c>
      <c r="D349" t="s">
        <v>16</v>
      </c>
      <c r="E349">
        <v>3</v>
      </c>
      <c r="F349" t="s">
        <v>17</v>
      </c>
      <c r="G349">
        <v>1.19</v>
      </c>
      <c r="H349" t="str" cm="1">
        <f t="array" ref="H349">_xlfn.XLOOKUP(TRIM(C349),_xlfn.ANCHORARRAY($L$5),$M$5:$M$18)</f>
        <v>Metro</v>
      </c>
      <c r="I349" t="str">
        <v>Sel</v>
      </c>
      <c r="J349">
        <f t="shared" si="10"/>
        <v>3</v>
      </c>
    </row>
    <row r="350" spans="1:10" x14ac:dyDescent="0.25">
      <c r="A350" t="s">
        <v>491</v>
      </c>
      <c r="B350" t="s">
        <v>488</v>
      </c>
      <c r="C350" t="s">
        <v>46</v>
      </c>
      <c r="D350" t="s">
        <v>20</v>
      </c>
      <c r="E350">
        <v>6</v>
      </c>
      <c r="F350" t="s">
        <v>21</v>
      </c>
      <c r="G350">
        <v>4.24</v>
      </c>
      <c r="H350" t="str" cm="1">
        <f t="array" ref="H350">_xlfn.XLOOKUP(TRIM(C350),_xlfn.ANCHORARRAY($L$5),$M$5:$M$18)</f>
        <v>LEGUMEX</v>
      </c>
      <c r="I350" t="str">
        <v>Tomates pelées</v>
      </c>
      <c r="J350">
        <f t="shared" si="10"/>
        <v>6</v>
      </c>
    </row>
    <row r="351" spans="1:10" x14ac:dyDescent="0.25">
      <c r="A351" t="s">
        <v>492</v>
      </c>
      <c r="B351" t="s">
        <v>488</v>
      </c>
      <c r="C351" t="s">
        <v>27</v>
      </c>
      <c r="D351" t="s">
        <v>24</v>
      </c>
      <c r="E351">
        <v>6</v>
      </c>
      <c r="F351" t="s">
        <v>25</v>
      </c>
      <c r="G351">
        <v>23.61</v>
      </c>
      <c r="H351" t="str" cm="1">
        <f t="array" ref="H351">_xlfn.XLOOKUP(TRIM(C351),_xlfn.ANCHORARRAY($L$5),$M$5:$M$18)</f>
        <v>LEGUMEX</v>
      </c>
      <c r="I351" t="str">
        <v>Huile olive</v>
      </c>
      <c r="J351">
        <f t="shared" si="10"/>
        <v>6</v>
      </c>
    </row>
    <row r="352" spans="1:10" x14ac:dyDescent="0.25">
      <c r="A352" t="s">
        <v>493</v>
      </c>
      <c r="B352" t="s">
        <v>488</v>
      </c>
      <c r="C352" t="s">
        <v>46</v>
      </c>
      <c r="D352" t="s">
        <v>28</v>
      </c>
      <c r="E352">
        <v>10</v>
      </c>
      <c r="F352" t="s">
        <v>29</v>
      </c>
      <c r="G352">
        <v>10.5</v>
      </c>
      <c r="H352" t="str" cm="1">
        <f t="array" ref="H352">_xlfn.XLOOKUP(TRIM(C352),_xlfn.ANCHORARRAY($L$5),$M$5:$M$18)</f>
        <v>LEGUMEX</v>
      </c>
      <c r="I352" t="str">
        <v>Sauce tomate</v>
      </c>
      <c r="J352">
        <f t="shared" si="10"/>
        <v>10</v>
      </c>
    </row>
    <row r="353" spans="1:10" x14ac:dyDescent="0.25">
      <c r="A353" t="s">
        <v>494</v>
      </c>
      <c r="B353" t="s">
        <v>495</v>
      </c>
      <c r="C353" t="s">
        <v>32</v>
      </c>
      <c r="D353" t="s">
        <v>33</v>
      </c>
      <c r="E353">
        <v>5</v>
      </c>
      <c r="F353" t="s">
        <v>17</v>
      </c>
      <c r="G353">
        <v>8.9</v>
      </c>
      <c r="H353" t="str" cm="1">
        <f t="array" ref="H353">_xlfn.XLOOKUP(TRIM(C353),_xlfn.ANCHORARRAY($L$5),$M$5:$M$18)</f>
        <v>B. Halal Pro</v>
      </c>
      <c r="I353" t="str">
        <v>Viande hachée</v>
      </c>
      <c r="J353">
        <f t="shared" si="10"/>
        <v>5</v>
      </c>
    </row>
    <row r="354" spans="1:10" x14ac:dyDescent="0.25">
      <c r="A354" t="s">
        <v>496</v>
      </c>
      <c r="B354" t="s">
        <v>495</v>
      </c>
      <c r="C354" t="s">
        <v>64</v>
      </c>
      <c r="D354" t="s">
        <v>35</v>
      </c>
      <c r="E354">
        <v>5</v>
      </c>
      <c r="F354" t="s">
        <v>17</v>
      </c>
      <c r="G354">
        <v>6.99</v>
      </c>
      <c r="H354" t="str" cm="1">
        <f t="array" ref="H354">_xlfn.XLOOKUP(TRIM(C354),_xlfn.ANCHORARRAY($L$5),$M$5:$M$18)</f>
        <v>B. Halal Pro</v>
      </c>
      <c r="I354" t="str">
        <v>Poulet émincé</v>
      </c>
      <c r="J354">
        <f t="shared" si="10"/>
        <v>5</v>
      </c>
    </row>
    <row r="355" spans="1:10" x14ac:dyDescent="0.25">
      <c r="A355" t="s">
        <v>497</v>
      </c>
      <c r="B355" t="s">
        <v>495</v>
      </c>
      <c r="C355" t="s">
        <v>37</v>
      </c>
      <c r="D355" t="s">
        <v>38</v>
      </c>
      <c r="E355">
        <v>8</v>
      </c>
      <c r="F355" t="s">
        <v>39</v>
      </c>
      <c r="G355">
        <v>5.96</v>
      </c>
      <c r="H355" t="str" cm="1">
        <f t="array" ref="H355">_xlfn.XLOOKUP(TRIM(C355),_xlfn.ANCHORARRAY($L$5),$M$5:$M$18)</f>
        <v>Boul. Express</v>
      </c>
      <c r="I355" t="str">
        <v>Pain burger</v>
      </c>
      <c r="J355">
        <f t="shared" si="10"/>
        <v>8</v>
      </c>
    </row>
    <row r="356" spans="1:10" x14ac:dyDescent="0.25">
      <c r="A356" t="s">
        <v>498</v>
      </c>
      <c r="B356" t="s">
        <v>495</v>
      </c>
      <c r="C356" t="s">
        <v>69</v>
      </c>
      <c r="D356" t="s">
        <v>42</v>
      </c>
      <c r="E356">
        <v>8</v>
      </c>
      <c r="F356" t="s">
        <v>43</v>
      </c>
      <c r="G356">
        <v>3.98</v>
      </c>
      <c r="H356" t="str" cm="1">
        <f t="array" ref="H356">_xlfn.XLOOKUP(TRIM(C356),_xlfn.ANCHORARRAY($L$5),$M$5:$M$18)</f>
        <v>Boul. Express</v>
      </c>
      <c r="I356" t="str">
        <v>Pain pita</v>
      </c>
      <c r="J356">
        <f t="shared" si="10"/>
        <v>8</v>
      </c>
    </row>
    <row r="357" spans="1:10" x14ac:dyDescent="0.25">
      <c r="A357" t="s">
        <v>499</v>
      </c>
      <c r="B357" t="s">
        <v>500</v>
      </c>
      <c r="C357" t="s">
        <v>23</v>
      </c>
      <c r="D357" t="s">
        <v>20</v>
      </c>
      <c r="E357">
        <v>4</v>
      </c>
      <c r="F357" t="s">
        <v>21</v>
      </c>
      <c r="G357">
        <v>4.2300000000000004</v>
      </c>
      <c r="H357" t="str" cm="1">
        <f t="array" ref="H357">_xlfn.XLOOKUP(TRIM(C357),_xlfn.ANCHORARRAY($L$5),$M$5:$M$18)</f>
        <v>LEGUMEX</v>
      </c>
      <c r="I357" t="str">
        <v>Tomates pelées</v>
      </c>
      <c r="J357">
        <f t="shared" si="10"/>
        <v>4</v>
      </c>
    </row>
    <row r="358" spans="1:10" x14ac:dyDescent="0.25">
      <c r="A358" t="s">
        <v>501</v>
      </c>
      <c r="B358" t="s">
        <v>500</v>
      </c>
      <c r="C358" t="s">
        <v>27</v>
      </c>
      <c r="D358" t="s">
        <v>24</v>
      </c>
      <c r="E358">
        <v>6</v>
      </c>
      <c r="F358" t="s">
        <v>25</v>
      </c>
      <c r="G358">
        <v>21.63</v>
      </c>
      <c r="H358" t="str" cm="1">
        <f t="array" ref="H358">_xlfn.XLOOKUP(TRIM(C358),_xlfn.ANCHORARRAY($L$5),$M$5:$M$18)</f>
        <v>LEGUMEX</v>
      </c>
      <c r="I358" t="str">
        <v>Huile olive</v>
      </c>
      <c r="J358">
        <f t="shared" si="10"/>
        <v>6</v>
      </c>
    </row>
    <row r="359" spans="1:10" x14ac:dyDescent="0.25">
      <c r="A359" t="s">
        <v>502</v>
      </c>
      <c r="B359" t="s">
        <v>500</v>
      </c>
      <c r="C359" t="s">
        <v>23</v>
      </c>
      <c r="D359" t="s">
        <v>28</v>
      </c>
      <c r="E359">
        <v>8</v>
      </c>
      <c r="F359" t="s">
        <v>29</v>
      </c>
      <c r="G359">
        <v>9.4499999999999993</v>
      </c>
      <c r="H359" t="str" cm="1">
        <f t="array" ref="H359">_xlfn.XLOOKUP(TRIM(C359),_xlfn.ANCHORARRAY($L$5),$M$5:$M$18)</f>
        <v>LEGUMEX</v>
      </c>
      <c r="I359" t="str">
        <v>Sauce tomate</v>
      </c>
      <c r="J359">
        <f t="shared" si="10"/>
        <v>8</v>
      </c>
    </row>
    <row r="360" spans="1:10" x14ac:dyDescent="0.25">
      <c r="A360" t="s">
        <v>503</v>
      </c>
      <c r="B360" t="s">
        <v>500</v>
      </c>
      <c r="C360" t="s">
        <v>90</v>
      </c>
      <c r="D360" t="s">
        <v>51</v>
      </c>
      <c r="E360">
        <v>3</v>
      </c>
      <c r="F360" t="s">
        <v>52</v>
      </c>
      <c r="G360">
        <v>17.84</v>
      </c>
      <c r="H360" t="str" cm="1">
        <f t="array" ref="H360">_xlfn.XLOOKUP(TRIM(C360),_xlfn.ANCHORARRAY($L$5),$M$5:$M$18)</f>
        <v>Moulin du Nord</v>
      </c>
      <c r="I360" t="str">
        <v>Farine</v>
      </c>
      <c r="J360">
        <f t="shared" si="10"/>
        <v>3</v>
      </c>
    </row>
    <row r="361" spans="1:10" x14ac:dyDescent="0.25">
      <c r="A361" t="s">
        <v>504</v>
      </c>
      <c r="B361" t="s">
        <v>500</v>
      </c>
      <c r="C361" t="s">
        <v>195</v>
      </c>
      <c r="D361" t="s">
        <v>55</v>
      </c>
      <c r="E361">
        <v>10</v>
      </c>
      <c r="F361" t="s">
        <v>17</v>
      </c>
      <c r="G361">
        <v>8.4600000000000009</v>
      </c>
      <c r="H361" t="str" cm="1">
        <f t="array" ref="H361">_xlfn.XLOOKUP(TRIM(C361),_xlfn.ANCHORARRAY($L$5),$M$5:$M$18)</f>
        <v>Fromag. Centrale</v>
      </c>
      <c r="I361" t="str">
        <v>Mozzarella</v>
      </c>
      <c r="J361">
        <f t="shared" si="10"/>
        <v>10</v>
      </c>
    </row>
    <row r="362" spans="1:10" x14ac:dyDescent="0.25">
      <c r="A362" t="s">
        <v>505</v>
      </c>
      <c r="B362" t="s">
        <v>506</v>
      </c>
      <c r="C362" t="s">
        <v>9</v>
      </c>
      <c r="D362" t="s">
        <v>10</v>
      </c>
      <c r="E362">
        <v>4</v>
      </c>
      <c r="F362" t="s">
        <v>11</v>
      </c>
      <c r="G362">
        <v>14.9</v>
      </c>
      <c r="H362" t="str" cm="1">
        <f t="array" ref="H362">_xlfn.XLOOKUP(TRIM(C362),_xlfn.ANCHORARRAY($L$5),$M$5:$M$18)</f>
        <v>Metro</v>
      </c>
      <c r="I362" t="str">
        <v>Coca Cola</v>
      </c>
      <c r="J362">
        <f t="shared" si="10"/>
        <v>4</v>
      </c>
    </row>
    <row r="363" spans="1:10" x14ac:dyDescent="0.25">
      <c r="A363" t="s">
        <v>507</v>
      </c>
      <c r="B363" t="s">
        <v>506</v>
      </c>
      <c r="C363" t="s">
        <v>9</v>
      </c>
      <c r="D363" t="s">
        <v>14</v>
      </c>
      <c r="E363">
        <v>5</v>
      </c>
      <c r="F363" t="s">
        <v>11</v>
      </c>
      <c r="G363">
        <v>13.09</v>
      </c>
      <c r="H363" t="str" cm="1">
        <f t="array" ref="H363">_xlfn.XLOOKUP(TRIM(C363),_xlfn.ANCHORARRAY($L$5),$M$5:$M$18)</f>
        <v>Metro</v>
      </c>
      <c r="I363" t="str">
        <v>7up</v>
      </c>
      <c r="J363">
        <f t="shared" si="10"/>
        <v>5</v>
      </c>
    </row>
    <row r="364" spans="1:10" x14ac:dyDescent="0.25">
      <c r="A364" t="s">
        <v>508</v>
      </c>
      <c r="B364" t="s">
        <v>506</v>
      </c>
      <c r="C364" t="s">
        <v>9</v>
      </c>
      <c r="D364" t="s">
        <v>16</v>
      </c>
      <c r="E364">
        <v>5</v>
      </c>
      <c r="F364" t="s">
        <v>17</v>
      </c>
      <c r="G364">
        <v>1.17</v>
      </c>
      <c r="H364" t="str" cm="1">
        <f t="array" ref="H364">_xlfn.XLOOKUP(TRIM(C364),_xlfn.ANCHORARRAY($L$5),$M$5:$M$18)</f>
        <v>Metro</v>
      </c>
      <c r="I364" t="str">
        <v>Sel</v>
      </c>
      <c r="J364">
        <f t="shared" si="10"/>
        <v>5</v>
      </c>
    </row>
    <row r="365" spans="1:10" x14ac:dyDescent="0.25">
      <c r="A365" t="s">
        <v>509</v>
      </c>
      <c r="B365" t="s">
        <v>510</v>
      </c>
      <c r="C365" t="s">
        <v>64</v>
      </c>
      <c r="D365" t="s">
        <v>33</v>
      </c>
      <c r="E365">
        <v>10</v>
      </c>
      <c r="F365" t="s">
        <v>17</v>
      </c>
      <c r="G365">
        <v>9.25</v>
      </c>
      <c r="H365" t="str" cm="1">
        <f t="array" ref="H365">_xlfn.XLOOKUP(TRIM(C365),_xlfn.ANCHORARRAY($L$5),$M$5:$M$18)</f>
        <v>B. Halal Pro</v>
      </c>
      <c r="I365" t="str">
        <v>Viande hachée</v>
      </c>
      <c r="J365">
        <f t="shared" si="10"/>
        <v>10</v>
      </c>
    </row>
    <row r="366" spans="1:10" x14ac:dyDescent="0.25">
      <c r="A366" t="s">
        <v>511</v>
      </c>
      <c r="B366" t="s">
        <v>510</v>
      </c>
      <c r="C366" t="s">
        <v>66</v>
      </c>
      <c r="D366" t="s">
        <v>35</v>
      </c>
      <c r="E366">
        <v>8</v>
      </c>
      <c r="F366" t="s">
        <v>17</v>
      </c>
      <c r="G366">
        <v>7.75</v>
      </c>
      <c r="H366" t="str" cm="1">
        <f t="array" ref="H366">_xlfn.XLOOKUP(TRIM(C366),_xlfn.ANCHORARRAY($L$5),$M$5:$M$18)</f>
        <v>B. Halal Pro</v>
      </c>
      <c r="I366" t="str">
        <v>Poulet émincé</v>
      </c>
      <c r="J366">
        <f t="shared" si="10"/>
        <v>8</v>
      </c>
    </row>
    <row r="367" spans="1:10" x14ac:dyDescent="0.25">
      <c r="A367" t="s">
        <v>512</v>
      </c>
      <c r="B367" t="s">
        <v>510</v>
      </c>
      <c r="C367" t="s">
        <v>37</v>
      </c>
      <c r="D367" t="s">
        <v>38</v>
      </c>
      <c r="E367">
        <v>10</v>
      </c>
      <c r="F367" t="s">
        <v>39</v>
      </c>
      <c r="G367">
        <v>5.96</v>
      </c>
      <c r="H367" t="str" cm="1">
        <f t="array" ref="H367">_xlfn.XLOOKUP(TRIM(C367),_xlfn.ANCHORARRAY($L$5),$M$5:$M$18)</f>
        <v>Boul. Express</v>
      </c>
      <c r="I367" t="str">
        <v>Pain burger</v>
      </c>
      <c r="J367">
        <f t="shared" si="10"/>
        <v>10</v>
      </c>
    </row>
    <row r="368" spans="1:10" x14ac:dyDescent="0.25">
      <c r="A368" t="s">
        <v>513</v>
      </c>
      <c r="B368" t="s">
        <v>510</v>
      </c>
      <c r="C368" t="s">
        <v>41</v>
      </c>
      <c r="D368" t="s">
        <v>42</v>
      </c>
      <c r="E368">
        <v>10</v>
      </c>
      <c r="F368" t="s">
        <v>43</v>
      </c>
      <c r="G368">
        <v>4</v>
      </c>
      <c r="H368" t="str" cm="1">
        <f t="array" ref="H368">_xlfn.XLOOKUP(TRIM(C368),_xlfn.ANCHORARRAY($L$5),$M$5:$M$18)</f>
        <v>Boul. Express</v>
      </c>
      <c r="I368" t="str">
        <v>Pain pita</v>
      </c>
      <c r="J368">
        <f t="shared" si="10"/>
        <v>10</v>
      </c>
    </row>
    <row r="369" spans="1:10" x14ac:dyDescent="0.25">
      <c r="A369" t="s">
        <v>514</v>
      </c>
      <c r="B369" t="s">
        <v>515</v>
      </c>
      <c r="C369" t="s">
        <v>54</v>
      </c>
      <c r="D369" t="s">
        <v>55</v>
      </c>
      <c r="E369">
        <v>6</v>
      </c>
      <c r="F369" t="s">
        <v>17</v>
      </c>
      <c r="G369">
        <v>9.14</v>
      </c>
      <c r="H369" t="str" cm="1">
        <f t="array" ref="H369">_xlfn.XLOOKUP(TRIM(C369),_xlfn.ANCHORARRAY($L$5),$M$5:$M$18)</f>
        <v>Fromag. Centrale</v>
      </c>
      <c r="I369" t="str">
        <v>Mozzarella</v>
      </c>
      <c r="J369">
        <f t="shared" si="10"/>
        <v>6</v>
      </c>
    </row>
    <row r="370" spans="1:10" x14ac:dyDescent="0.25">
      <c r="A370" t="s">
        <v>516</v>
      </c>
      <c r="B370" t="s">
        <v>517</v>
      </c>
      <c r="C370" t="s">
        <v>59</v>
      </c>
      <c r="D370" t="s">
        <v>10</v>
      </c>
      <c r="E370">
        <v>6</v>
      </c>
      <c r="F370" t="s">
        <v>11</v>
      </c>
      <c r="G370">
        <v>14.79</v>
      </c>
      <c r="H370" t="str" cm="1">
        <f t="array" ref="H370">_xlfn.XLOOKUP(TRIM(C370),_xlfn.ANCHORARRAY($L$5),$M$5:$M$18)</f>
        <v>Metro</v>
      </c>
      <c r="I370" t="str">
        <v>Coca Cola</v>
      </c>
      <c r="J370">
        <f t="shared" si="10"/>
        <v>6</v>
      </c>
    </row>
    <row r="371" spans="1:10" x14ac:dyDescent="0.25">
      <c r="A371" t="s">
        <v>518</v>
      </c>
      <c r="B371" t="s">
        <v>517</v>
      </c>
      <c r="C371" t="s">
        <v>9</v>
      </c>
      <c r="D371" t="s">
        <v>14</v>
      </c>
      <c r="E371">
        <v>6</v>
      </c>
      <c r="F371" t="s">
        <v>11</v>
      </c>
      <c r="G371">
        <v>12.85</v>
      </c>
      <c r="H371" t="str" cm="1">
        <f t="array" ref="H371">_xlfn.XLOOKUP(TRIM(C371),_xlfn.ANCHORARRAY($L$5),$M$5:$M$18)</f>
        <v>Metro</v>
      </c>
      <c r="I371" t="str">
        <v>7up</v>
      </c>
      <c r="J371">
        <f t="shared" si="10"/>
        <v>6</v>
      </c>
    </row>
    <row r="372" spans="1:10" x14ac:dyDescent="0.25">
      <c r="A372" t="s">
        <v>519</v>
      </c>
      <c r="B372" t="s">
        <v>517</v>
      </c>
      <c r="C372" t="s">
        <v>13</v>
      </c>
      <c r="D372" t="s">
        <v>16</v>
      </c>
      <c r="E372">
        <v>3</v>
      </c>
      <c r="F372" t="s">
        <v>17</v>
      </c>
      <c r="G372">
        <v>1.2</v>
      </c>
      <c r="H372" t="str" cm="1">
        <f t="array" ref="H372">_xlfn.XLOOKUP(TRIM(C372),_xlfn.ANCHORARRAY($L$5),$M$5:$M$18)</f>
        <v>Metro</v>
      </c>
      <c r="I372" t="str">
        <v>Sel</v>
      </c>
      <c r="J372">
        <f t="shared" si="10"/>
        <v>3</v>
      </c>
    </row>
    <row r="373" spans="1:10" x14ac:dyDescent="0.25">
      <c r="A373" t="s">
        <v>520</v>
      </c>
      <c r="B373" t="s">
        <v>517</v>
      </c>
      <c r="C373" t="s">
        <v>23</v>
      </c>
      <c r="D373" t="s">
        <v>20</v>
      </c>
      <c r="E373">
        <v>10</v>
      </c>
      <c r="F373" t="s">
        <v>21</v>
      </c>
      <c r="G373">
        <v>4.53</v>
      </c>
      <c r="H373" t="str" cm="1">
        <f t="array" ref="H373">_xlfn.XLOOKUP(TRIM(C373),_xlfn.ANCHORARRAY($L$5),$M$5:$M$18)</f>
        <v>LEGUMEX</v>
      </c>
      <c r="I373" t="str">
        <v>Tomates pelées</v>
      </c>
      <c r="J373">
        <f t="shared" si="10"/>
        <v>10</v>
      </c>
    </row>
    <row r="374" spans="1:10" x14ac:dyDescent="0.25">
      <c r="A374" t="s">
        <v>521</v>
      </c>
      <c r="B374" t="s">
        <v>517</v>
      </c>
      <c r="C374" t="s">
        <v>19</v>
      </c>
      <c r="D374" t="s">
        <v>24</v>
      </c>
      <c r="E374">
        <v>4</v>
      </c>
      <c r="F374" t="s">
        <v>25</v>
      </c>
      <c r="G374">
        <v>21.72</v>
      </c>
      <c r="H374" t="str" cm="1">
        <f t="array" ref="H374">_xlfn.XLOOKUP(TRIM(C374),_xlfn.ANCHORARRAY($L$5),$M$5:$M$18)</f>
        <v>LEGUMEX</v>
      </c>
      <c r="I374" t="str">
        <v>Huile olive</v>
      </c>
      <c r="J374">
        <f t="shared" si="10"/>
        <v>4</v>
      </c>
    </row>
    <row r="375" spans="1:10" x14ac:dyDescent="0.25">
      <c r="A375" t="s">
        <v>522</v>
      </c>
      <c r="B375" t="s">
        <v>517</v>
      </c>
      <c r="C375" t="s">
        <v>46</v>
      </c>
      <c r="D375" t="s">
        <v>28</v>
      </c>
      <c r="E375">
        <v>8</v>
      </c>
      <c r="F375" t="s">
        <v>29</v>
      </c>
      <c r="G375">
        <v>9.66</v>
      </c>
      <c r="H375" t="str" cm="1">
        <f t="array" ref="H375">_xlfn.XLOOKUP(TRIM(C375),_xlfn.ANCHORARRAY($L$5),$M$5:$M$18)</f>
        <v>LEGUMEX</v>
      </c>
      <c r="I375" t="str">
        <v>Sauce tomate</v>
      </c>
      <c r="J375">
        <f t="shared" si="10"/>
        <v>8</v>
      </c>
    </row>
    <row r="376" spans="1:10" x14ac:dyDescent="0.25">
      <c r="A376" t="s">
        <v>523</v>
      </c>
      <c r="B376" t="s">
        <v>524</v>
      </c>
      <c r="C376" t="s">
        <v>66</v>
      </c>
      <c r="D376" t="s">
        <v>33</v>
      </c>
      <c r="E376">
        <v>10</v>
      </c>
      <c r="F376" t="s">
        <v>17</v>
      </c>
      <c r="G376">
        <v>10.050000000000001</v>
      </c>
      <c r="H376" t="str" cm="1">
        <f t="array" ref="H376">_xlfn.XLOOKUP(TRIM(C376),_xlfn.ANCHORARRAY($L$5),$M$5:$M$18)</f>
        <v>B. Halal Pro</v>
      </c>
      <c r="I376" t="str">
        <v>Viande hachée</v>
      </c>
      <c r="J376">
        <f t="shared" si="10"/>
        <v>10</v>
      </c>
    </row>
    <row r="377" spans="1:10" x14ac:dyDescent="0.25">
      <c r="A377" t="s">
        <v>525</v>
      </c>
      <c r="B377" t="s">
        <v>524</v>
      </c>
      <c r="C377" t="s">
        <v>100</v>
      </c>
      <c r="D377" t="s">
        <v>35</v>
      </c>
      <c r="E377">
        <v>10</v>
      </c>
      <c r="F377" t="s">
        <v>17</v>
      </c>
      <c r="G377">
        <v>7.2</v>
      </c>
      <c r="H377" t="str" cm="1">
        <f t="array" ref="H377">_xlfn.XLOOKUP(TRIM(C377),_xlfn.ANCHORARRAY($L$5),$M$5:$M$18)</f>
        <v>B. Halal Pro</v>
      </c>
      <c r="I377" t="str">
        <v>Poulet émincé</v>
      </c>
      <c r="J377">
        <f t="shared" si="10"/>
        <v>10</v>
      </c>
    </row>
    <row r="378" spans="1:10" x14ac:dyDescent="0.25">
      <c r="A378" t="s">
        <v>526</v>
      </c>
      <c r="B378" t="s">
        <v>524</v>
      </c>
      <c r="C378" t="s">
        <v>37</v>
      </c>
      <c r="D378" t="s">
        <v>38</v>
      </c>
      <c r="E378">
        <v>12</v>
      </c>
      <c r="F378" t="s">
        <v>39</v>
      </c>
      <c r="G378">
        <v>5.96</v>
      </c>
      <c r="H378" t="str" cm="1">
        <f t="array" ref="H378">_xlfn.XLOOKUP(TRIM(C378),_xlfn.ANCHORARRAY($L$5),$M$5:$M$18)</f>
        <v>Boul. Express</v>
      </c>
      <c r="I378" t="str">
        <v>Pain burger</v>
      </c>
      <c r="J378">
        <f t="shared" si="10"/>
        <v>12</v>
      </c>
    </row>
    <row r="379" spans="1:10" x14ac:dyDescent="0.25">
      <c r="A379" t="s">
        <v>527</v>
      </c>
      <c r="B379" t="s">
        <v>524</v>
      </c>
      <c r="C379" t="s">
        <v>83</v>
      </c>
      <c r="D379" t="s">
        <v>42</v>
      </c>
      <c r="E379">
        <v>10</v>
      </c>
      <c r="F379" t="s">
        <v>43</v>
      </c>
      <c r="G379">
        <v>3.95</v>
      </c>
      <c r="H379" t="str" cm="1">
        <f t="array" ref="H379">_xlfn.XLOOKUP(TRIM(C379),_xlfn.ANCHORARRAY($L$5),$M$5:$M$18)</f>
        <v>Boul. Express</v>
      </c>
      <c r="I379" t="str">
        <v>Pain pita</v>
      </c>
      <c r="J379">
        <f t="shared" si="10"/>
        <v>10</v>
      </c>
    </row>
    <row r="380" spans="1:10" x14ac:dyDescent="0.25">
      <c r="A380" t="s">
        <v>528</v>
      </c>
      <c r="B380" t="s">
        <v>529</v>
      </c>
      <c r="C380" t="s">
        <v>46</v>
      </c>
      <c r="D380" t="s">
        <v>20</v>
      </c>
      <c r="E380">
        <v>8</v>
      </c>
      <c r="F380" t="s">
        <v>21</v>
      </c>
      <c r="G380">
        <v>4.3499999999999996</v>
      </c>
      <c r="H380" t="str" cm="1">
        <f t="array" ref="H380">_xlfn.XLOOKUP(TRIM(C380),_xlfn.ANCHORARRAY($L$5),$M$5:$M$18)</f>
        <v>LEGUMEX</v>
      </c>
      <c r="I380" t="str">
        <v>Tomates pelées</v>
      </c>
      <c r="J380">
        <f t="shared" si="10"/>
        <v>8</v>
      </c>
    </row>
    <row r="381" spans="1:10" x14ac:dyDescent="0.25">
      <c r="A381" t="s">
        <v>530</v>
      </c>
      <c r="B381" t="s">
        <v>529</v>
      </c>
      <c r="C381" t="s">
        <v>23</v>
      </c>
      <c r="D381" t="s">
        <v>24</v>
      </c>
      <c r="E381">
        <v>10</v>
      </c>
      <c r="F381" t="s">
        <v>25</v>
      </c>
      <c r="G381">
        <v>21.38</v>
      </c>
      <c r="H381" t="str" cm="1">
        <f t="array" ref="H381">_xlfn.XLOOKUP(TRIM(C381),_xlfn.ANCHORARRAY($L$5),$M$5:$M$18)</f>
        <v>LEGUMEX</v>
      </c>
      <c r="I381" t="str">
        <v>Huile olive</v>
      </c>
      <c r="J381">
        <f t="shared" si="10"/>
        <v>10</v>
      </c>
    </row>
    <row r="382" spans="1:10" x14ac:dyDescent="0.25">
      <c r="A382" t="s">
        <v>531</v>
      </c>
      <c r="B382" t="s">
        <v>529</v>
      </c>
      <c r="C382" t="s">
        <v>27</v>
      </c>
      <c r="D382" t="s">
        <v>28</v>
      </c>
      <c r="E382">
        <v>8</v>
      </c>
      <c r="F382" t="s">
        <v>29</v>
      </c>
      <c r="G382">
        <v>10.24</v>
      </c>
      <c r="H382" t="str" cm="1">
        <f t="array" ref="H382">_xlfn.XLOOKUP(TRIM(C382),_xlfn.ANCHORARRAY($L$5),$M$5:$M$18)</f>
        <v>LEGUMEX</v>
      </c>
      <c r="I382" t="str">
        <v>Sauce tomate</v>
      </c>
      <c r="J382">
        <f t="shared" si="10"/>
        <v>8</v>
      </c>
    </row>
    <row r="383" spans="1:10" x14ac:dyDescent="0.25">
      <c r="A383" t="s">
        <v>532</v>
      </c>
      <c r="B383" t="s">
        <v>529</v>
      </c>
      <c r="C383" t="s">
        <v>50</v>
      </c>
      <c r="D383" t="s">
        <v>51</v>
      </c>
      <c r="E383">
        <v>2</v>
      </c>
      <c r="F383" t="s">
        <v>52</v>
      </c>
      <c r="G383">
        <v>18.22</v>
      </c>
      <c r="H383" t="str" cm="1">
        <f t="array" ref="H383">_xlfn.XLOOKUP(TRIM(C383),_xlfn.ANCHORARRAY($L$5),$M$5:$M$18)</f>
        <v>Moulin du Nord</v>
      </c>
      <c r="I383" t="str">
        <v>Farine</v>
      </c>
      <c r="J383">
        <f t="shared" si="10"/>
        <v>2</v>
      </c>
    </row>
    <row r="384" spans="1:10" x14ac:dyDescent="0.25">
      <c r="A384" t="s">
        <v>533</v>
      </c>
      <c r="B384" t="s">
        <v>529</v>
      </c>
      <c r="C384" t="s">
        <v>195</v>
      </c>
      <c r="D384" t="s">
        <v>55</v>
      </c>
      <c r="E384">
        <v>6</v>
      </c>
      <c r="F384" t="s">
        <v>17</v>
      </c>
      <c r="G384">
        <v>8.8800000000000008</v>
      </c>
      <c r="H384" t="str" cm="1">
        <f t="array" ref="H384">_xlfn.XLOOKUP(TRIM(C384),_xlfn.ANCHORARRAY($L$5),$M$5:$M$18)</f>
        <v>Fromag. Centrale</v>
      </c>
      <c r="I384" t="str">
        <v>Mozzarella</v>
      </c>
      <c r="J384">
        <f t="shared" si="10"/>
        <v>6</v>
      </c>
    </row>
    <row r="385" spans="1:10" x14ac:dyDescent="0.25">
      <c r="A385" t="s">
        <v>534</v>
      </c>
      <c r="B385" t="s">
        <v>535</v>
      </c>
      <c r="C385" t="s">
        <v>13</v>
      </c>
      <c r="D385" t="s">
        <v>10</v>
      </c>
      <c r="E385">
        <v>6</v>
      </c>
      <c r="F385" t="s">
        <v>11</v>
      </c>
      <c r="G385">
        <v>14.01</v>
      </c>
      <c r="H385" t="str" cm="1">
        <f t="array" ref="H385">_xlfn.XLOOKUP(TRIM(C385),_xlfn.ANCHORARRAY($L$5),$M$5:$M$18)</f>
        <v>Metro</v>
      </c>
      <c r="I385" t="str">
        <v>Coca Cola</v>
      </c>
      <c r="J385">
        <f t="shared" si="10"/>
        <v>6</v>
      </c>
    </row>
    <row r="386" spans="1:10" x14ac:dyDescent="0.25">
      <c r="A386" t="s">
        <v>536</v>
      </c>
      <c r="B386" t="s">
        <v>535</v>
      </c>
      <c r="C386" t="s">
        <v>97</v>
      </c>
      <c r="D386" t="s">
        <v>14</v>
      </c>
      <c r="E386">
        <v>5</v>
      </c>
      <c r="F386" t="s">
        <v>11</v>
      </c>
      <c r="G386">
        <v>13.26</v>
      </c>
      <c r="H386" t="str" cm="1">
        <f t="array" ref="H386">_xlfn.XLOOKUP(TRIM(C386),_xlfn.ANCHORARRAY($L$5),$M$5:$M$18)</f>
        <v>Metro</v>
      </c>
      <c r="I386" t="str">
        <v>7up</v>
      </c>
      <c r="J386">
        <f t="shared" ref="J386:J449" si="11">IF(E386&lt;&gt;0,E386,_xlfn.XLOOKUP(I386,$Q$5:$Q$16,$Y$5:$Y$16))</f>
        <v>5</v>
      </c>
    </row>
    <row r="387" spans="1:10" x14ac:dyDescent="0.25">
      <c r="A387" t="s">
        <v>537</v>
      </c>
      <c r="B387" t="s">
        <v>535</v>
      </c>
      <c r="C387" t="s">
        <v>61</v>
      </c>
      <c r="D387" t="s">
        <v>16</v>
      </c>
      <c r="E387">
        <v>4</v>
      </c>
      <c r="F387" t="s">
        <v>17</v>
      </c>
      <c r="G387">
        <v>1.24</v>
      </c>
      <c r="H387" t="str" cm="1">
        <f t="array" ref="H387">_xlfn.XLOOKUP(TRIM(C387),_xlfn.ANCHORARRAY($L$5),$M$5:$M$18)</f>
        <v>Metro</v>
      </c>
      <c r="I387" t="str">
        <v>Sel</v>
      </c>
      <c r="J387">
        <f t="shared" si="11"/>
        <v>4</v>
      </c>
    </row>
    <row r="388" spans="1:10" x14ac:dyDescent="0.25">
      <c r="A388" t="s">
        <v>538</v>
      </c>
      <c r="B388" t="s">
        <v>539</v>
      </c>
      <c r="C388" t="s">
        <v>32</v>
      </c>
      <c r="D388" t="s">
        <v>33</v>
      </c>
      <c r="E388">
        <v>5</v>
      </c>
      <c r="F388" t="s">
        <v>17</v>
      </c>
      <c r="G388">
        <v>9.3699999999999992</v>
      </c>
      <c r="H388" t="str" cm="1">
        <f t="array" ref="H388">_xlfn.XLOOKUP(TRIM(C388),_xlfn.ANCHORARRAY($L$5),$M$5:$M$18)</f>
        <v>B. Halal Pro</v>
      </c>
      <c r="I388" t="str">
        <v>Viande hachée</v>
      </c>
      <c r="J388">
        <f t="shared" si="11"/>
        <v>5</v>
      </c>
    </row>
    <row r="389" spans="1:10" x14ac:dyDescent="0.25">
      <c r="A389" t="s">
        <v>540</v>
      </c>
      <c r="B389" t="s">
        <v>539</v>
      </c>
      <c r="C389" t="s">
        <v>32</v>
      </c>
      <c r="D389" t="s">
        <v>35</v>
      </c>
      <c r="E389">
        <v>8</v>
      </c>
      <c r="F389" t="s">
        <v>17</v>
      </c>
      <c r="G389">
        <v>7.08</v>
      </c>
      <c r="H389" t="str" cm="1">
        <f t="array" ref="H389">_xlfn.XLOOKUP(TRIM(C389),_xlfn.ANCHORARRAY($L$5),$M$5:$M$18)</f>
        <v>B. Halal Pro</v>
      </c>
      <c r="I389" t="str">
        <v>Poulet émincé</v>
      </c>
      <c r="J389">
        <f t="shared" si="11"/>
        <v>8</v>
      </c>
    </row>
    <row r="390" spans="1:10" x14ac:dyDescent="0.25">
      <c r="A390" t="s">
        <v>541</v>
      </c>
      <c r="B390" t="s">
        <v>539</v>
      </c>
      <c r="C390" t="s">
        <v>41</v>
      </c>
      <c r="D390" t="s">
        <v>38</v>
      </c>
      <c r="E390">
        <v>8</v>
      </c>
      <c r="F390" t="s">
        <v>39</v>
      </c>
      <c r="G390">
        <v>5.69</v>
      </c>
      <c r="H390" t="str" cm="1">
        <f t="array" ref="H390">_xlfn.XLOOKUP(TRIM(C390),_xlfn.ANCHORARRAY($L$5),$M$5:$M$18)</f>
        <v>Boul. Express</v>
      </c>
      <c r="I390" t="str">
        <v>Pain burger</v>
      </c>
      <c r="J390">
        <f t="shared" si="11"/>
        <v>8</v>
      </c>
    </row>
    <row r="391" spans="1:10" x14ac:dyDescent="0.25">
      <c r="A391" t="s">
        <v>542</v>
      </c>
      <c r="B391" t="s">
        <v>539</v>
      </c>
      <c r="C391" t="s">
        <v>69</v>
      </c>
      <c r="D391" t="s">
        <v>42</v>
      </c>
      <c r="E391">
        <v>5</v>
      </c>
      <c r="F391" t="s">
        <v>43</v>
      </c>
      <c r="G391">
        <v>4.04</v>
      </c>
      <c r="H391" t="str" cm="1">
        <f t="array" ref="H391">_xlfn.XLOOKUP(TRIM(C391),_xlfn.ANCHORARRAY($L$5),$M$5:$M$18)</f>
        <v>Boul. Express</v>
      </c>
      <c r="I391" t="str">
        <v>Pain pita</v>
      </c>
      <c r="J391">
        <f t="shared" si="11"/>
        <v>5</v>
      </c>
    </row>
    <row r="392" spans="1:10" x14ac:dyDescent="0.25">
      <c r="A392" t="s">
        <v>543</v>
      </c>
      <c r="B392" t="s">
        <v>544</v>
      </c>
      <c r="C392" t="s">
        <v>54</v>
      </c>
      <c r="D392" t="s">
        <v>55</v>
      </c>
      <c r="E392">
        <v>6</v>
      </c>
      <c r="F392" t="s">
        <v>17</v>
      </c>
      <c r="G392">
        <v>9.3699999999999992</v>
      </c>
      <c r="H392" t="str" cm="1">
        <f t="array" ref="H392">_xlfn.XLOOKUP(TRIM(C392),_xlfn.ANCHORARRAY($L$5),$M$5:$M$18)</f>
        <v>Fromag. Centrale</v>
      </c>
      <c r="I392" t="str">
        <v>Mozzarella</v>
      </c>
      <c r="J392">
        <f t="shared" si="11"/>
        <v>6</v>
      </c>
    </row>
    <row r="393" spans="1:10" x14ac:dyDescent="0.25">
      <c r="A393" t="s">
        <v>545</v>
      </c>
      <c r="B393" t="s">
        <v>546</v>
      </c>
      <c r="C393" t="s">
        <v>97</v>
      </c>
      <c r="D393" t="s">
        <v>10</v>
      </c>
      <c r="E393">
        <v>6</v>
      </c>
      <c r="F393" t="s">
        <v>11</v>
      </c>
      <c r="G393">
        <v>14.23</v>
      </c>
      <c r="H393" t="str" cm="1">
        <f t="array" ref="H393">_xlfn.XLOOKUP(TRIM(C393),_xlfn.ANCHORARRAY($L$5),$M$5:$M$18)</f>
        <v>Metro</v>
      </c>
      <c r="I393" t="str">
        <v>Coca Cola</v>
      </c>
      <c r="J393">
        <f t="shared" si="11"/>
        <v>6</v>
      </c>
    </row>
    <row r="394" spans="1:10" x14ac:dyDescent="0.25">
      <c r="A394" t="s">
        <v>547</v>
      </c>
      <c r="B394" t="s">
        <v>546</v>
      </c>
      <c r="C394" t="s">
        <v>9</v>
      </c>
      <c r="D394" t="s">
        <v>14</v>
      </c>
      <c r="E394">
        <v>6</v>
      </c>
      <c r="F394" t="s">
        <v>11</v>
      </c>
      <c r="G394">
        <v>13.01</v>
      </c>
      <c r="H394" t="str" cm="1">
        <f t="array" ref="H394">_xlfn.XLOOKUP(TRIM(C394),_xlfn.ANCHORARRAY($L$5),$M$5:$M$18)</f>
        <v>Metro</v>
      </c>
      <c r="I394" t="str">
        <v>7up</v>
      </c>
      <c r="J394">
        <f t="shared" si="11"/>
        <v>6</v>
      </c>
    </row>
    <row r="395" spans="1:10" x14ac:dyDescent="0.25">
      <c r="A395" t="s">
        <v>548</v>
      </c>
      <c r="B395" t="s">
        <v>546</v>
      </c>
      <c r="C395" t="s">
        <v>9</v>
      </c>
      <c r="D395" t="s">
        <v>16</v>
      </c>
      <c r="E395">
        <v>5</v>
      </c>
      <c r="F395" t="s">
        <v>17</v>
      </c>
      <c r="G395">
        <v>1.24</v>
      </c>
      <c r="H395" t="str" cm="1">
        <f t="array" ref="H395">_xlfn.XLOOKUP(TRIM(C395),_xlfn.ANCHORARRAY($L$5),$M$5:$M$18)</f>
        <v>Metro</v>
      </c>
      <c r="I395" t="str">
        <v>Sel</v>
      </c>
      <c r="J395">
        <f t="shared" si="11"/>
        <v>5</v>
      </c>
    </row>
    <row r="396" spans="1:10" x14ac:dyDescent="0.25">
      <c r="A396" t="s">
        <v>549</v>
      </c>
      <c r="B396" t="s">
        <v>546</v>
      </c>
      <c r="C396" t="s">
        <v>46</v>
      </c>
      <c r="D396" t="s">
        <v>20</v>
      </c>
      <c r="E396">
        <v>6</v>
      </c>
      <c r="F396" t="s">
        <v>21</v>
      </c>
      <c r="G396">
        <v>4.4800000000000004</v>
      </c>
      <c r="H396" t="str" cm="1">
        <f t="array" ref="H396">_xlfn.XLOOKUP(TRIM(C396),_xlfn.ANCHORARRAY($L$5),$M$5:$M$18)</f>
        <v>LEGUMEX</v>
      </c>
      <c r="I396" t="str">
        <v>Tomates pelées</v>
      </c>
      <c r="J396">
        <f t="shared" si="11"/>
        <v>6</v>
      </c>
    </row>
    <row r="397" spans="1:10" x14ac:dyDescent="0.25">
      <c r="A397" t="s">
        <v>550</v>
      </c>
      <c r="B397" t="s">
        <v>546</v>
      </c>
      <c r="C397" t="s">
        <v>19</v>
      </c>
      <c r="D397" t="s">
        <v>24</v>
      </c>
      <c r="E397">
        <v>6</v>
      </c>
      <c r="F397" t="s">
        <v>25</v>
      </c>
      <c r="G397">
        <v>23.17</v>
      </c>
      <c r="H397" t="str" cm="1">
        <f t="array" ref="H397">_xlfn.XLOOKUP(TRIM(C397),_xlfn.ANCHORARRAY($L$5),$M$5:$M$18)</f>
        <v>LEGUMEX</v>
      </c>
      <c r="I397" t="str">
        <v>Huile olive</v>
      </c>
      <c r="J397">
        <f t="shared" si="11"/>
        <v>6</v>
      </c>
    </row>
    <row r="398" spans="1:10" x14ac:dyDescent="0.25">
      <c r="A398" t="s">
        <v>551</v>
      </c>
      <c r="B398" t="s">
        <v>546</v>
      </c>
      <c r="C398" t="s">
        <v>19</v>
      </c>
      <c r="D398" t="s">
        <v>28</v>
      </c>
      <c r="E398">
        <v>6</v>
      </c>
      <c r="F398" t="s">
        <v>29</v>
      </c>
      <c r="G398">
        <v>10.32</v>
      </c>
      <c r="H398" t="str" cm="1">
        <f t="array" ref="H398">_xlfn.XLOOKUP(TRIM(C398),_xlfn.ANCHORARRAY($L$5),$M$5:$M$18)</f>
        <v>LEGUMEX</v>
      </c>
      <c r="I398" t="str">
        <v>Sauce tomate</v>
      </c>
      <c r="J398">
        <f t="shared" si="11"/>
        <v>6</v>
      </c>
    </row>
    <row r="399" spans="1:10" x14ac:dyDescent="0.25">
      <c r="A399" t="s">
        <v>552</v>
      </c>
      <c r="B399" t="s">
        <v>553</v>
      </c>
      <c r="C399" t="s">
        <v>64</v>
      </c>
      <c r="D399" t="s">
        <v>33</v>
      </c>
      <c r="E399">
        <v>12</v>
      </c>
      <c r="F399" t="s">
        <v>17</v>
      </c>
      <c r="G399">
        <v>9.18</v>
      </c>
      <c r="H399" t="str" cm="1">
        <f t="array" ref="H399">_xlfn.XLOOKUP(TRIM(C399),_xlfn.ANCHORARRAY($L$5),$M$5:$M$18)</f>
        <v>B. Halal Pro</v>
      </c>
      <c r="I399" t="str">
        <v>Viande hachée</v>
      </c>
      <c r="J399">
        <f t="shared" si="11"/>
        <v>12</v>
      </c>
    </row>
    <row r="400" spans="1:10" x14ac:dyDescent="0.25">
      <c r="A400" t="s">
        <v>554</v>
      </c>
      <c r="B400" t="s">
        <v>553</v>
      </c>
      <c r="C400" t="s">
        <v>100</v>
      </c>
      <c r="D400" t="s">
        <v>35</v>
      </c>
      <c r="E400">
        <v>5</v>
      </c>
      <c r="F400" t="s">
        <v>17</v>
      </c>
      <c r="G400">
        <v>7.33</v>
      </c>
      <c r="H400" t="str" cm="1">
        <f t="array" ref="H400">_xlfn.XLOOKUP(TRIM(C400),_xlfn.ANCHORARRAY($L$5),$M$5:$M$18)</f>
        <v>B. Halal Pro</v>
      </c>
      <c r="I400" t="str">
        <v>Poulet émincé</v>
      </c>
      <c r="J400">
        <f t="shared" si="11"/>
        <v>5</v>
      </c>
    </row>
    <row r="401" spans="1:10" x14ac:dyDescent="0.25">
      <c r="A401" t="s">
        <v>555</v>
      </c>
      <c r="B401" t="s">
        <v>553</v>
      </c>
      <c r="C401" t="s">
        <v>69</v>
      </c>
      <c r="D401" t="s">
        <v>38</v>
      </c>
      <c r="E401">
        <v>12</v>
      </c>
      <c r="F401" t="s">
        <v>39</v>
      </c>
      <c r="G401">
        <v>6.03</v>
      </c>
      <c r="H401" t="str" cm="1">
        <f t="array" ref="H401">_xlfn.XLOOKUP(TRIM(C401),_xlfn.ANCHORARRAY($L$5),$M$5:$M$18)</f>
        <v>Boul. Express</v>
      </c>
      <c r="I401" t="str">
        <v>Pain burger</v>
      </c>
      <c r="J401">
        <f t="shared" si="11"/>
        <v>12</v>
      </c>
    </row>
    <row r="402" spans="1:10" x14ac:dyDescent="0.25">
      <c r="A402" t="s">
        <v>556</v>
      </c>
      <c r="B402" t="s">
        <v>553</v>
      </c>
      <c r="C402" t="s">
        <v>69</v>
      </c>
      <c r="D402" t="s">
        <v>42</v>
      </c>
      <c r="E402">
        <v>5</v>
      </c>
      <c r="F402" t="s">
        <v>43</v>
      </c>
      <c r="G402">
        <v>4.01</v>
      </c>
      <c r="H402" t="str" cm="1">
        <f t="array" ref="H402">_xlfn.XLOOKUP(TRIM(C402),_xlfn.ANCHORARRAY($L$5),$M$5:$M$18)</f>
        <v>Boul. Express</v>
      </c>
      <c r="I402" t="str">
        <v>Pain pita</v>
      </c>
      <c r="J402">
        <f t="shared" si="11"/>
        <v>5</v>
      </c>
    </row>
    <row r="403" spans="1:10" x14ac:dyDescent="0.25">
      <c r="A403" t="s">
        <v>557</v>
      </c>
      <c r="B403" t="s">
        <v>558</v>
      </c>
      <c r="C403" t="s">
        <v>46</v>
      </c>
      <c r="D403" t="s">
        <v>20</v>
      </c>
      <c r="E403">
        <v>10</v>
      </c>
      <c r="F403" t="s">
        <v>21</v>
      </c>
      <c r="G403">
        <v>4.34</v>
      </c>
      <c r="H403" t="str" cm="1">
        <f t="array" ref="H403">_xlfn.XLOOKUP(TRIM(C403),_xlfn.ANCHORARRAY($L$5),$M$5:$M$18)</f>
        <v>LEGUMEX</v>
      </c>
      <c r="I403" t="str">
        <v>Tomates pelées</v>
      </c>
      <c r="J403">
        <f t="shared" si="11"/>
        <v>10</v>
      </c>
    </row>
    <row r="404" spans="1:10" x14ac:dyDescent="0.25">
      <c r="A404" t="s">
        <v>559</v>
      </c>
      <c r="B404" t="s">
        <v>558</v>
      </c>
      <c r="C404" t="s">
        <v>46</v>
      </c>
      <c r="D404" t="s">
        <v>24</v>
      </c>
      <c r="E404">
        <v>6</v>
      </c>
      <c r="F404" t="s">
        <v>25</v>
      </c>
      <c r="G404">
        <v>21.27</v>
      </c>
      <c r="H404" t="str" cm="1">
        <f t="array" ref="H404">_xlfn.XLOOKUP(TRIM(C404),_xlfn.ANCHORARRAY($L$5),$M$5:$M$18)</f>
        <v>LEGUMEX</v>
      </c>
      <c r="I404" t="str">
        <v>Huile olive</v>
      </c>
      <c r="J404">
        <f t="shared" si="11"/>
        <v>6</v>
      </c>
    </row>
    <row r="405" spans="1:10" x14ac:dyDescent="0.25">
      <c r="A405" t="s">
        <v>560</v>
      </c>
      <c r="B405" t="s">
        <v>558</v>
      </c>
      <c r="C405" t="s">
        <v>19</v>
      </c>
      <c r="D405" t="s">
        <v>28</v>
      </c>
      <c r="E405">
        <v>4</v>
      </c>
      <c r="F405" t="s">
        <v>29</v>
      </c>
      <c r="G405">
        <v>9.86</v>
      </c>
      <c r="H405" t="str" cm="1">
        <f t="array" ref="H405">_xlfn.XLOOKUP(TRIM(C405),_xlfn.ANCHORARRAY($L$5),$M$5:$M$18)</f>
        <v>LEGUMEX</v>
      </c>
      <c r="I405" t="str">
        <v>Sauce tomate</v>
      </c>
      <c r="J405">
        <f t="shared" si="11"/>
        <v>4</v>
      </c>
    </row>
    <row r="406" spans="1:10" x14ac:dyDescent="0.25">
      <c r="A406" t="s">
        <v>561</v>
      </c>
      <c r="B406" t="s">
        <v>558</v>
      </c>
      <c r="C406" t="s">
        <v>152</v>
      </c>
      <c r="D406" t="s">
        <v>51</v>
      </c>
      <c r="E406">
        <v>2</v>
      </c>
      <c r="F406" t="s">
        <v>52</v>
      </c>
      <c r="G406">
        <v>18.27</v>
      </c>
      <c r="H406" t="str" cm="1">
        <f t="array" ref="H406">_xlfn.XLOOKUP(TRIM(C406),_xlfn.ANCHORARRAY($L$5),$M$5:$M$18)</f>
        <v>Moulin du Nord</v>
      </c>
      <c r="I406" t="str">
        <v>Farine</v>
      </c>
      <c r="J406">
        <f t="shared" si="11"/>
        <v>2</v>
      </c>
    </row>
    <row r="407" spans="1:10" x14ac:dyDescent="0.25">
      <c r="A407" t="s">
        <v>562</v>
      </c>
      <c r="B407" t="s">
        <v>558</v>
      </c>
      <c r="C407" t="s">
        <v>92</v>
      </c>
      <c r="D407" t="s">
        <v>55</v>
      </c>
      <c r="E407">
        <v>8</v>
      </c>
      <c r="F407" t="s">
        <v>17</v>
      </c>
      <c r="G407">
        <v>8.86</v>
      </c>
      <c r="H407" t="str" cm="1">
        <f t="array" ref="H407">_xlfn.XLOOKUP(TRIM(C407),_xlfn.ANCHORARRAY($L$5),$M$5:$M$18)</f>
        <v>Fromag. Centrale</v>
      </c>
      <c r="I407" t="str">
        <v>Mozzarella</v>
      </c>
      <c r="J407">
        <f t="shared" si="11"/>
        <v>8</v>
      </c>
    </row>
    <row r="408" spans="1:10" x14ac:dyDescent="0.25">
      <c r="A408" t="s">
        <v>563</v>
      </c>
      <c r="B408" t="s">
        <v>564</v>
      </c>
      <c r="C408" t="s">
        <v>97</v>
      </c>
      <c r="D408" t="s">
        <v>10</v>
      </c>
      <c r="E408">
        <v>4</v>
      </c>
      <c r="F408" t="s">
        <v>11</v>
      </c>
      <c r="G408">
        <v>14.79</v>
      </c>
      <c r="H408" t="str" cm="1">
        <f t="array" ref="H408">_xlfn.XLOOKUP(TRIM(C408),_xlfn.ANCHORARRAY($L$5),$M$5:$M$18)</f>
        <v>Metro</v>
      </c>
      <c r="I408" t="str">
        <v>Coca Cola</v>
      </c>
      <c r="J408">
        <f t="shared" si="11"/>
        <v>4</v>
      </c>
    </row>
    <row r="409" spans="1:10" x14ac:dyDescent="0.25">
      <c r="A409" t="s">
        <v>565</v>
      </c>
      <c r="B409" t="s">
        <v>564</v>
      </c>
      <c r="C409" t="s">
        <v>13</v>
      </c>
      <c r="D409" t="s">
        <v>14</v>
      </c>
      <c r="E409">
        <v>5</v>
      </c>
      <c r="F409" t="s">
        <v>11</v>
      </c>
      <c r="G409">
        <v>13.53</v>
      </c>
      <c r="H409" t="str" cm="1">
        <f t="array" ref="H409">_xlfn.XLOOKUP(TRIM(C409),_xlfn.ANCHORARRAY($L$5),$M$5:$M$18)</f>
        <v>Metro</v>
      </c>
      <c r="I409" t="str">
        <v>7up</v>
      </c>
      <c r="J409">
        <f t="shared" si="11"/>
        <v>5</v>
      </c>
    </row>
    <row r="410" spans="1:10" x14ac:dyDescent="0.25">
      <c r="A410" t="s">
        <v>566</v>
      </c>
      <c r="B410" t="s">
        <v>564</v>
      </c>
      <c r="C410" t="s">
        <v>13</v>
      </c>
      <c r="D410" t="s">
        <v>16</v>
      </c>
      <c r="E410">
        <v>4</v>
      </c>
      <c r="F410" t="s">
        <v>17</v>
      </c>
      <c r="G410">
        <v>1.18</v>
      </c>
      <c r="H410" t="str" cm="1">
        <f t="array" ref="H410">_xlfn.XLOOKUP(TRIM(C410),_xlfn.ANCHORARRAY($L$5),$M$5:$M$18)</f>
        <v>Metro</v>
      </c>
      <c r="I410" t="str">
        <v>Sel</v>
      </c>
      <c r="J410">
        <f t="shared" si="11"/>
        <v>4</v>
      </c>
    </row>
    <row r="411" spans="1:10" x14ac:dyDescent="0.25">
      <c r="A411" t="s">
        <v>567</v>
      </c>
      <c r="B411" t="s">
        <v>568</v>
      </c>
      <c r="C411" t="s">
        <v>32</v>
      </c>
      <c r="D411" t="s">
        <v>33</v>
      </c>
      <c r="E411">
        <v>12</v>
      </c>
      <c r="F411" t="s">
        <v>17</v>
      </c>
      <c r="G411">
        <v>10.28</v>
      </c>
      <c r="H411" t="str" cm="1">
        <f t="array" ref="H411">_xlfn.XLOOKUP(TRIM(C411),_xlfn.ANCHORARRAY($L$5),$M$5:$M$18)</f>
        <v>B. Halal Pro</v>
      </c>
      <c r="I411" t="str">
        <v>Viande hachée</v>
      </c>
      <c r="J411">
        <f t="shared" si="11"/>
        <v>12</v>
      </c>
    </row>
    <row r="412" spans="1:10" x14ac:dyDescent="0.25">
      <c r="A412" t="s">
        <v>569</v>
      </c>
      <c r="B412" t="s">
        <v>568</v>
      </c>
      <c r="C412" t="s">
        <v>64</v>
      </c>
      <c r="D412" t="s">
        <v>35</v>
      </c>
      <c r="E412">
        <v>12</v>
      </c>
      <c r="F412" t="s">
        <v>17</v>
      </c>
      <c r="G412">
        <v>6.72</v>
      </c>
      <c r="H412" t="str" cm="1">
        <f t="array" ref="H412">_xlfn.XLOOKUP(TRIM(C412),_xlfn.ANCHORARRAY($L$5),$M$5:$M$18)</f>
        <v>B. Halal Pro</v>
      </c>
      <c r="I412" t="str">
        <v>Poulet émincé</v>
      </c>
      <c r="J412">
        <f t="shared" si="11"/>
        <v>12</v>
      </c>
    </row>
    <row r="413" spans="1:10" x14ac:dyDescent="0.25">
      <c r="A413" t="s">
        <v>570</v>
      </c>
      <c r="B413" t="s">
        <v>568</v>
      </c>
      <c r="C413" t="s">
        <v>83</v>
      </c>
      <c r="D413" t="s">
        <v>38</v>
      </c>
      <c r="E413">
        <v>12</v>
      </c>
      <c r="F413" t="s">
        <v>39</v>
      </c>
      <c r="G413">
        <v>5.95</v>
      </c>
      <c r="H413" t="str" cm="1">
        <f t="array" ref="H413">_xlfn.XLOOKUP(TRIM(C413),_xlfn.ANCHORARRAY($L$5),$M$5:$M$18)</f>
        <v>Boul. Express</v>
      </c>
      <c r="I413" t="str">
        <v>Pain burger</v>
      </c>
      <c r="J413">
        <f t="shared" si="11"/>
        <v>12</v>
      </c>
    </row>
    <row r="414" spans="1:10" x14ac:dyDescent="0.25">
      <c r="A414" t="s">
        <v>571</v>
      </c>
      <c r="B414" t="s">
        <v>568</v>
      </c>
      <c r="C414" t="s">
        <v>41</v>
      </c>
      <c r="D414" t="s">
        <v>42</v>
      </c>
      <c r="E414">
        <v>10</v>
      </c>
      <c r="F414" t="s">
        <v>43</v>
      </c>
      <c r="G414">
        <v>3.94</v>
      </c>
      <c r="H414" t="str" cm="1">
        <f t="array" ref="H414">_xlfn.XLOOKUP(TRIM(C414),_xlfn.ANCHORARRAY($L$5),$M$5:$M$18)</f>
        <v>Boul. Express</v>
      </c>
      <c r="I414" t="str">
        <v>Pain pita</v>
      </c>
      <c r="J414">
        <f t="shared" si="11"/>
        <v>10</v>
      </c>
    </row>
    <row r="415" spans="1:10" x14ac:dyDescent="0.25">
      <c r="A415" t="s">
        <v>572</v>
      </c>
      <c r="B415" t="s">
        <v>573</v>
      </c>
      <c r="C415" t="s">
        <v>54</v>
      </c>
      <c r="D415" t="s">
        <v>55</v>
      </c>
      <c r="E415">
        <v>10</v>
      </c>
      <c r="F415" t="s">
        <v>17</v>
      </c>
      <c r="G415">
        <v>9.0500000000000007</v>
      </c>
      <c r="H415" t="str" cm="1">
        <f t="array" ref="H415">_xlfn.XLOOKUP(TRIM(C415),_xlfn.ANCHORARRAY($L$5),$M$5:$M$18)</f>
        <v>Fromag. Centrale</v>
      </c>
      <c r="I415" t="str">
        <v>Mozzarella</v>
      </c>
      <c r="J415">
        <f t="shared" si="11"/>
        <v>10</v>
      </c>
    </row>
    <row r="416" spans="1:10" x14ac:dyDescent="0.25">
      <c r="A416" t="s">
        <v>574</v>
      </c>
      <c r="B416" t="s">
        <v>575</v>
      </c>
      <c r="C416" t="s">
        <v>9</v>
      </c>
      <c r="D416" t="s">
        <v>10</v>
      </c>
      <c r="E416">
        <v>3</v>
      </c>
      <c r="F416" t="s">
        <v>11</v>
      </c>
      <c r="G416">
        <v>14.17</v>
      </c>
      <c r="H416" t="str" cm="1">
        <f t="array" ref="H416">_xlfn.XLOOKUP(TRIM(C416),_xlfn.ANCHORARRAY($L$5),$M$5:$M$18)</f>
        <v>Metro</v>
      </c>
      <c r="I416" t="str">
        <v>Coca Cola</v>
      </c>
      <c r="J416">
        <f t="shared" si="11"/>
        <v>3</v>
      </c>
    </row>
    <row r="417" spans="1:10" x14ac:dyDescent="0.25">
      <c r="A417" t="s">
        <v>576</v>
      </c>
      <c r="B417" t="s">
        <v>575</v>
      </c>
      <c r="C417" t="s">
        <v>59</v>
      </c>
      <c r="D417" t="s">
        <v>14</v>
      </c>
      <c r="E417">
        <v>4</v>
      </c>
      <c r="F417" t="s">
        <v>11</v>
      </c>
      <c r="G417">
        <v>13.21</v>
      </c>
      <c r="H417" t="str" cm="1">
        <f t="array" ref="H417">_xlfn.XLOOKUP(TRIM(C417),_xlfn.ANCHORARRAY($L$5),$M$5:$M$18)</f>
        <v>Metro</v>
      </c>
      <c r="I417" t="str">
        <v>7up</v>
      </c>
      <c r="J417">
        <f t="shared" si="11"/>
        <v>4</v>
      </c>
    </row>
    <row r="418" spans="1:10" x14ac:dyDescent="0.25">
      <c r="A418" t="s">
        <v>577</v>
      </c>
      <c r="B418" t="s">
        <v>575</v>
      </c>
      <c r="C418" t="s">
        <v>97</v>
      </c>
      <c r="D418" t="s">
        <v>16</v>
      </c>
      <c r="E418">
        <v>5</v>
      </c>
      <c r="F418" t="s">
        <v>17</v>
      </c>
      <c r="G418">
        <v>1.27</v>
      </c>
      <c r="H418" t="str" cm="1">
        <f t="array" ref="H418">_xlfn.XLOOKUP(TRIM(C418),_xlfn.ANCHORARRAY($L$5),$M$5:$M$18)</f>
        <v>Metro</v>
      </c>
      <c r="I418" t="str">
        <v>Sel</v>
      </c>
      <c r="J418">
        <f t="shared" si="11"/>
        <v>5</v>
      </c>
    </row>
    <row r="419" spans="1:10" x14ac:dyDescent="0.25">
      <c r="A419" t="s">
        <v>578</v>
      </c>
      <c r="B419" t="s">
        <v>575</v>
      </c>
      <c r="C419" t="s">
        <v>46</v>
      </c>
      <c r="D419" t="s">
        <v>20</v>
      </c>
      <c r="E419">
        <v>4</v>
      </c>
      <c r="F419" t="s">
        <v>21</v>
      </c>
      <c r="G419">
        <v>4.2699999999999996</v>
      </c>
      <c r="H419" t="str" cm="1">
        <f t="array" ref="H419">_xlfn.XLOOKUP(TRIM(C419),_xlfn.ANCHORARRAY($L$5),$M$5:$M$18)</f>
        <v>LEGUMEX</v>
      </c>
      <c r="I419" t="str">
        <v>Tomates pelées</v>
      </c>
      <c r="J419">
        <f t="shared" si="11"/>
        <v>4</v>
      </c>
    </row>
    <row r="420" spans="1:10" x14ac:dyDescent="0.25">
      <c r="A420" t="s">
        <v>579</v>
      </c>
      <c r="B420" t="s">
        <v>575</v>
      </c>
      <c r="C420" t="s">
        <v>23</v>
      </c>
      <c r="D420" t="s">
        <v>24</v>
      </c>
      <c r="E420">
        <v>10</v>
      </c>
      <c r="F420" t="s">
        <v>25</v>
      </c>
      <c r="G420">
        <v>21.25</v>
      </c>
      <c r="H420" t="str" cm="1">
        <f t="array" ref="H420">_xlfn.XLOOKUP(TRIM(C420),_xlfn.ANCHORARRAY($L$5),$M$5:$M$18)</f>
        <v>LEGUMEX</v>
      </c>
      <c r="I420" t="str">
        <v>Huile olive</v>
      </c>
      <c r="J420">
        <f t="shared" si="11"/>
        <v>10</v>
      </c>
    </row>
    <row r="421" spans="1:10" x14ac:dyDescent="0.25">
      <c r="A421" t="s">
        <v>580</v>
      </c>
      <c r="B421" t="s">
        <v>575</v>
      </c>
      <c r="C421" t="s">
        <v>27</v>
      </c>
      <c r="D421" t="s">
        <v>28</v>
      </c>
      <c r="E421">
        <v>10</v>
      </c>
      <c r="F421" t="s">
        <v>29</v>
      </c>
      <c r="G421">
        <v>9.3699999999999992</v>
      </c>
      <c r="H421" t="str" cm="1">
        <f t="array" ref="H421">_xlfn.XLOOKUP(TRIM(C421),_xlfn.ANCHORARRAY($L$5),$M$5:$M$18)</f>
        <v>LEGUMEX</v>
      </c>
      <c r="I421" t="str">
        <v>Sauce tomate</v>
      </c>
      <c r="J421">
        <f t="shared" si="11"/>
        <v>10</v>
      </c>
    </row>
    <row r="422" spans="1:10" x14ac:dyDescent="0.25">
      <c r="A422" t="s">
        <v>581</v>
      </c>
      <c r="B422" t="s">
        <v>582</v>
      </c>
      <c r="C422" t="s">
        <v>66</v>
      </c>
      <c r="D422" t="s">
        <v>33</v>
      </c>
      <c r="E422">
        <v>6</v>
      </c>
      <c r="F422" t="s">
        <v>17</v>
      </c>
      <c r="G422">
        <v>8.93</v>
      </c>
      <c r="H422" t="str" cm="1">
        <f t="array" ref="H422">_xlfn.XLOOKUP(TRIM(C422),_xlfn.ANCHORARRAY($L$5),$M$5:$M$18)</f>
        <v>B. Halal Pro</v>
      </c>
      <c r="I422" t="str">
        <v>Viande hachée</v>
      </c>
      <c r="J422">
        <f t="shared" si="11"/>
        <v>6</v>
      </c>
    </row>
    <row r="423" spans="1:10" x14ac:dyDescent="0.25">
      <c r="A423" t="s">
        <v>583</v>
      </c>
      <c r="B423" t="s">
        <v>582</v>
      </c>
      <c r="C423" t="s">
        <v>32</v>
      </c>
      <c r="D423" t="s">
        <v>35</v>
      </c>
      <c r="E423">
        <v>6</v>
      </c>
      <c r="F423" t="s">
        <v>17</v>
      </c>
      <c r="G423">
        <v>6.84</v>
      </c>
      <c r="H423" t="str" cm="1">
        <f t="array" ref="H423">_xlfn.XLOOKUP(TRIM(C423),_xlfn.ANCHORARRAY($L$5),$M$5:$M$18)</f>
        <v>B. Halal Pro</v>
      </c>
      <c r="I423" t="str">
        <v>Poulet émincé</v>
      </c>
      <c r="J423">
        <f t="shared" si="11"/>
        <v>6</v>
      </c>
    </row>
    <row r="424" spans="1:10" x14ac:dyDescent="0.25">
      <c r="A424" t="s">
        <v>584</v>
      </c>
      <c r="B424" t="s">
        <v>582</v>
      </c>
      <c r="C424" t="s">
        <v>69</v>
      </c>
      <c r="D424" t="s">
        <v>38</v>
      </c>
      <c r="E424">
        <v>10</v>
      </c>
      <c r="F424" t="s">
        <v>39</v>
      </c>
      <c r="G424">
        <v>5.86</v>
      </c>
      <c r="H424" t="str" cm="1">
        <f t="array" ref="H424">_xlfn.XLOOKUP(TRIM(C424),_xlfn.ANCHORARRAY($L$5),$M$5:$M$18)</f>
        <v>Boul. Express</v>
      </c>
      <c r="I424" t="str">
        <v>Pain burger</v>
      </c>
      <c r="J424">
        <f t="shared" si="11"/>
        <v>10</v>
      </c>
    </row>
    <row r="425" spans="1:10" x14ac:dyDescent="0.25">
      <c r="A425" t="s">
        <v>585</v>
      </c>
      <c r="B425" t="s">
        <v>582</v>
      </c>
      <c r="C425" t="s">
        <v>41</v>
      </c>
      <c r="D425" t="s">
        <v>42</v>
      </c>
      <c r="E425">
        <v>12</v>
      </c>
      <c r="F425" t="s">
        <v>43</v>
      </c>
      <c r="G425">
        <v>4.04</v>
      </c>
      <c r="H425" t="str" cm="1">
        <f t="array" ref="H425">_xlfn.XLOOKUP(TRIM(C425),_xlfn.ANCHORARRAY($L$5),$M$5:$M$18)</f>
        <v>Boul. Express</v>
      </c>
      <c r="I425" t="str">
        <v>Pain pita</v>
      </c>
      <c r="J425">
        <f t="shared" si="11"/>
        <v>12</v>
      </c>
    </row>
    <row r="426" spans="1:10" x14ac:dyDescent="0.25">
      <c r="A426" t="s">
        <v>586</v>
      </c>
      <c r="B426" t="s">
        <v>587</v>
      </c>
      <c r="C426" t="s">
        <v>19</v>
      </c>
      <c r="D426" t="s">
        <v>20</v>
      </c>
      <c r="E426">
        <v>4</v>
      </c>
      <c r="F426" t="s">
        <v>21</v>
      </c>
      <c r="G426">
        <v>4.3099999999999996</v>
      </c>
      <c r="H426" t="str" cm="1">
        <f t="array" ref="H426">_xlfn.XLOOKUP(TRIM(C426),_xlfn.ANCHORARRAY($L$5),$M$5:$M$18)</f>
        <v>LEGUMEX</v>
      </c>
      <c r="I426" t="str">
        <v>Tomates pelées</v>
      </c>
      <c r="J426">
        <f t="shared" si="11"/>
        <v>4</v>
      </c>
    </row>
    <row r="427" spans="1:10" x14ac:dyDescent="0.25">
      <c r="A427" t="s">
        <v>588</v>
      </c>
      <c r="B427" t="s">
        <v>587</v>
      </c>
      <c r="C427" t="s">
        <v>23</v>
      </c>
      <c r="D427" t="s">
        <v>24</v>
      </c>
      <c r="E427">
        <v>10</v>
      </c>
      <c r="F427" t="s">
        <v>25</v>
      </c>
      <c r="G427">
        <v>22.61</v>
      </c>
      <c r="H427" t="str" cm="1">
        <f t="array" ref="H427">_xlfn.XLOOKUP(TRIM(C427),_xlfn.ANCHORARRAY($L$5),$M$5:$M$18)</f>
        <v>LEGUMEX</v>
      </c>
      <c r="I427" t="str">
        <v>Huile olive</v>
      </c>
      <c r="J427">
        <f t="shared" si="11"/>
        <v>10</v>
      </c>
    </row>
    <row r="428" spans="1:10" x14ac:dyDescent="0.25">
      <c r="A428" t="s">
        <v>589</v>
      </c>
      <c r="B428" t="s">
        <v>587</v>
      </c>
      <c r="C428" t="s">
        <v>27</v>
      </c>
      <c r="D428" t="s">
        <v>28</v>
      </c>
      <c r="E428">
        <v>10</v>
      </c>
      <c r="F428" t="s">
        <v>29</v>
      </c>
      <c r="G428">
        <v>10.39</v>
      </c>
      <c r="H428" t="str" cm="1">
        <f t="array" ref="H428">_xlfn.XLOOKUP(TRIM(C428),_xlfn.ANCHORARRAY($L$5),$M$5:$M$18)</f>
        <v>LEGUMEX</v>
      </c>
      <c r="I428" t="str">
        <v>Sauce tomate</v>
      </c>
      <c r="J428">
        <f t="shared" si="11"/>
        <v>10</v>
      </c>
    </row>
    <row r="429" spans="1:10" x14ac:dyDescent="0.25">
      <c r="A429" t="s">
        <v>590</v>
      </c>
      <c r="B429" t="s">
        <v>587</v>
      </c>
      <c r="C429" t="s">
        <v>242</v>
      </c>
      <c r="D429" t="s">
        <v>51</v>
      </c>
      <c r="E429">
        <v>3</v>
      </c>
      <c r="F429" t="s">
        <v>52</v>
      </c>
      <c r="G429">
        <v>18.97</v>
      </c>
      <c r="H429" t="str" cm="1">
        <f t="array" ref="H429">_xlfn.XLOOKUP(TRIM(C429),_xlfn.ANCHORARRAY($L$5),$M$5:$M$18)</f>
        <v>Moulin du Nord</v>
      </c>
      <c r="I429" t="str">
        <v>Farine</v>
      </c>
      <c r="J429">
        <f t="shared" si="11"/>
        <v>3</v>
      </c>
    </row>
    <row r="430" spans="1:10" x14ac:dyDescent="0.25">
      <c r="A430" t="s">
        <v>591</v>
      </c>
      <c r="B430" t="s">
        <v>587</v>
      </c>
      <c r="C430" t="s">
        <v>195</v>
      </c>
      <c r="D430" t="s">
        <v>55</v>
      </c>
      <c r="E430">
        <v>6</v>
      </c>
      <c r="F430" t="s">
        <v>17</v>
      </c>
      <c r="G430">
        <v>8.44</v>
      </c>
      <c r="H430" t="str" cm="1">
        <f t="array" ref="H430">_xlfn.XLOOKUP(TRIM(C430),_xlfn.ANCHORARRAY($L$5),$M$5:$M$18)</f>
        <v>Fromag. Centrale</v>
      </c>
      <c r="I430" t="str">
        <v>Mozzarella</v>
      </c>
      <c r="J430">
        <f t="shared" si="11"/>
        <v>6</v>
      </c>
    </row>
    <row r="431" spans="1:10" x14ac:dyDescent="0.25">
      <c r="A431" t="s">
        <v>592</v>
      </c>
      <c r="B431" t="s">
        <v>593</v>
      </c>
      <c r="C431" t="s">
        <v>97</v>
      </c>
      <c r="D431" t="s">
        <v>10</v>
      </c>
      <c r="E431">
        <v>3</v>
      </c>
      <c r="F431" t="s">
        <v>11</v>
      </c>
      <c r="G431">
        <v>14.47</v>
      </c>
      <c r="H431" t="str" cm="1">
        <f t="array" ref="H431">_xlfn.XLOOKUP(TRIM(C431),_xlfn.ANCHORARRAY($L$5),$M$5:$M$18)</f>
        <v>Metro</v>
      </c>
      <c r="I431" t="str">
        <v>Coca Cola</v>
      </c>
      <c r="J431">
        <f t="shared" si="11"/>
        <v>3</v>
      </c>
    </row>
    <row r="432" spans="1:10" x14ac:dyDescent="0.25">
      <c r="A432" t="s">
        <v>594</v>
      </c>
      <c r="B432" t="s">
        <v>593</v>
      </c>
      <c r="C432" t="s">
        <v>61</v>
      </c>
      <c r="D432" t="s">
        <v>14</v>
      </c>
      <c r="E432">
        <v>5</v>
      </c>
      <c r="F432" t="s">
        <v>11</v>
      </c>
      <c r="G432">
        <v>13.78</v>
      </c>
      <c r="H432" t="str" cm="1">
        <f t="array" ref="H432">_xlfn.XLOOKUP(TRIM(C432),_xlfn.ANCHORARRAY($L$5),$M$5:$M$18)</f>
        <v>Metro</v>
      </c>
      <c r="I432" t="str">
        <v>7up</v>
      </c>
      <c r="J432">
        <f t="shared" si="11"/>
        <v>5</v>
      </c>
    </row>
    <row r="433" spans="1:10" x14ac:dyDescent="0.25">
      <c r="A433" t="s">
        <v>595</v>
      </c>
      <c r="B433" t="s">
        <v>593</v>
      </c>
      <c r="C433" t="s">
        <v>61</v>
      </c>
      <c r="D433" t="s">
        <v>16</v>
      </c>
      <c r="E433">
        <v>3</v>
      </c>
      <c r="F433" t="s">
        <v>17</v>
      </c>
      <c r="G433">
        <v>1.18</v>
      </c>
      <c r="H433" t="str" cm="1">
        <f t="array" ref="H433">_xlfn.XLOOKUP(TRIM(C433),_xlfn.ANCHORARRAY($L$5),$M$5:$M$18)</f>
        <v>Metro</v>
      </c>
      <c r="I433" t="str">
        <v>Sel</v>
      </c>
      <c r="J433">
        <f t="shared" si="11"/>
        <v>3</v>
      </c>
    </row>
    <row r="434" spans="1:10" x14ac:dyDescent="0.25">
      <c r="A434" t="s">
        <v>596</v>
      </c>
      <c r="B434" t="s">
        <v>597</v>
      </c>
      <c r="C434" t="s">
        <v>32</v>
      </c>
      <c r="D434" t="s">
        <v>33</v>
      </c>
      <c r="E434">
        <v>8</v>
      </c>
      <c r="F434" t="s">
        <v>17</v>
      </c>
      <c r="G434">
        <v>10.17</v>
      </c>
      <c r="H434" t="str" cm="1">
        <f t="array" ref="H434">_xlfn.XLOOKUP(TRIM(C434),_xlfn.ANCHORARRAY($L$5),$M$5:$M$18)</f>
        <v>B. Halal Pro</v>
      </c>
      <c r="I434" t="str">
        <v>Viande hachée</v>
      </c>
      <c r="J434">
        <f t="shared" si="11"/>
        <v>8</v>
      </c>
    </row>
    <row r="435" spans="1:10" x14ac:dyDescent="0.25">
      <c r="A435" t="s">
        <v>598</v>
      </c>
      <c r="B435" t="s">
        <v>597</v>
      </c>
      <c r="C435" t="s">
        <v>32</v>
      </c>
      <c r="D435" t="s">
        <v>35</v>
      </c>
      <c r="E435">
        <v>6</v>
      </c>
      <c r="F435" t="s">
        <v>17</v>
      </c>
      <c r="G435">
        <v>7.49</v>
      </c>
      <c r="H435" t="str" cm="1">
        <f t="array" ref="H435">_xlfn.XLOOKUP(TRIM(C435),_xlfn.ANCHORARRAY($L$5),$M$5:$M$18)</f>
        <v>B. Halal Pro</v>
      </c>
      <c r="I435" t="str">
        <v>Poulet émincé</v>
      </c>
      <c r="J435">
        <f t="shared" si="11"/>
        <v>6</v>
      </c>
    </row>
    <row r="436" spans="1:10" x14ac:dyDescent="0.25">
      <c r="A436" t="s">
        <v>599</v>
      </c>
      <c r="B436" t="s">
        <v>597</v>
      </c>
      <c r="C436" t="s">
        <v>69</v>
      </c>
      <c r="D436" t="s">
        <v>38</v>
      </c>
      <c r="E436">
        <v>5</v>
      </c>
      <c r="F436" t="s">
        <v>39</v>
      </c>
      <c r="G436">
        <v>5.86</v>
      </c>
      <c r="H436" t="str" cm="1">
        <f t="array" ref="H436">_xlfn.XLOOKUP(TRIM(C436),_xlfn.ANCHORARRAY($L$5),$M$5:$M$18)</f>
        <v>Boul. Express</v>
      </c>
      <c r="I436" t="str">
        <v>Pain burger</v>
      </c>
      <c r="J436">
        <f t="shared" si="11"/>
        <v>5</v>
      </c>
    </row>
    <row r="437" spans="1:10" x14ac:dyDescent="0.25">
      <c r="A437" t="s">
        <v>600</v>
      </c>
      <c r="B437" t="s">
        <v>597</v>
      </c>
      <c r="C437" t="s">
        <v>37</v>
      </c>
      <c r="D437" t="s">
        <v>42</v>
      </c>
      <c r="E437">
        <v>12</v>
      </c>
      <c r="F437" t="s">
        <v>43</v>
      </c>
      <c r="G437">
        <v>4.01</v>
      </c>
      <c r="H437" t="str" cm="1">
        <f t="array" ref="H437">_xlfn.XLOOKUP(TRIM(C437),_xlfn.ANCHORARRAY($L$5),$M$5:$M$18)</f>
        <v>Boul. Express</v>
      </c>
      <c r="I437" t="str">
        <v>Pain pita</v>
      </c>
      <c r="J437">
        <f t="shared" si="11"/>
        <v>12</v>
      </c>
    </row>
    <row r="438" spans="1:10" x14ac:dyDescent="0.25">
      <c r="A438" t="s">
        <v>601</v>
      </c>
      <c r="B438" t="s">
        <v>602</v>
      </c>
      <c r="C438" t="s">
        <v>92</v>
      </c>
      <c r="D438" t="s">
        <v>55</v>
      </c>
      <c r="E438">
        <v>8</v>
      </c>
      <c r="F438" t="s">
        <v>17</v>
      </c>
      <c r="G438">
        <v>8.83</v>
      </c>
      <c r="H438" t="str" cm="1">
        <f t="array" ref="H438">_xlfn.XLOOKUP(TRIM(C438),_xlfn.ANCHORARRAY($L$5),$M$5:$M$18)</f>
        <v>Fromag. Centrale</v>
      </c>
      <c r="I438" t="str">
        <v>Mozzarella</v>
      </c>
      <c r="J438">
        <f t="shared" si="11"/>
        <v>8</v>
      </c>
    </row>
    <row r="439" spans="1:10" x14ac:dyDescent="0.25">
      <c r="A439" t="s">
        <v>603</v>
      </c>
      <c r="B439" t="s">
        <v>604</v>
      </c>
      <c r="C439" t="s">
        <v>61</v>
      </c>
      <c r="D439" t="s">
        <v>10</v>
      </c>
      <c r="E439">
        <v>5</v>
      </c>
      <c r="F439" t="s">
        <v>11</v>
      </c>
      <c r="G439">
        <v>14.74</v>
      </c>
      <c r="H439" t="str" cm="1">
        <f t="array" ref="H439">_xlfn.XLOOKUP(TRIM(C439),_xlfn.ANCHORARRAY($L$5),$M$5:$M$18)</f>
        <v>Metro</v>
      </c>
      <c r="I439" t="str">
        <v>Coca Cola</v>
      </c>
      <c r="J439">
        <f t="shared" si="11"/>
        <v>5</v>
      </c>
    </row>
    <row r="440" spans="1:10" x14ac:dyDescent="0.25">
      <c r="A440" t="s">
        <v>605</v>
      </c>
      <c r="B440" t="s">
        <v>604</v>
      </c>
      <c r="C440" t="s">
        <v>61</v>
      </c>
      <c r="D440" t="s">
        <v>14</v>
      </c>
      <c r="E440">
        <v>6</v>
      </c>
      <c r="F440" t="s">
        <v>11</v>
      </c>
      <c r="G440">
        <v>13.65</v>
      </c>
      <c r="H440" t="str" cm="1">
        <f t="array" ref="H440">_xlfn.XLOOKUP(TRIM(C440),_xlfn.ANCHORARRAY($L$5),$M$5:$M$18)</f>
        <v>Metro</v>
      </c>
      <c r="I440" t="str">
        <v>7up</v>
      </c>
      <c r="J440">
        <f t="shared" si="11"/>
        <v>6</v>
      </c>
    </row>
    <row r="441" spans="1:10" x14ac:dyDescent="0.25">
      <c r="A441" t="s">
        <v>606</v>
      </c>
      <c r="B441" t="s">
        <v>604</v>
      </c>
      <c r="C441" t="s">
        <v>9</v>
      </c>
      <c r="D441" t="s">
        <v>16</v>
      </c>
      <c r="E441">
        <v>5</v>
      </c>
      <c r="F441" t="s">
        <v>17</v>
      </c>
      <c r="G441">
        <v>1.2</v>
      </c>
      <c r="H441" t="str" cm="1">
        <f t="array" ref="H441">_xlfn.XLOOKUP(TRIM(C441),_xlfn.ANCHORARRAY($L$5),$M$5:$M$18)</f>
        <v>Metro</v>
      </c>
      <c r="I441" t="str">
        <v>Sel</v>
      </c>
      <c r="J441">
        <f t="shared" si="11"/>
        <v>5</v>
      </c>
    </row>
    <row r="442" spans="1:10" x14ac:dyDescent="0.25">
      <c r="A442" t="s">
        <v>607</v>
      </c>
      <c r="B442" t="s">
        <v>604</v>
      </c>
      <c r="C442" t="s">
        <v>23</v>
      </c>
      <c r="D442" t="s">
        <v>20</v>
      </c>
      <c r="E442">
        <v>4</v>
      </c>
      <c r="F442" t="s">
        <v>21</v>
      </c>
      <c r="G442">
        <v>4.3099999999999996</v>
      </c>
      <c r="H442" t="str" cm="1">
        <f t="array" ref="H442">_xlfn.XLOOKUP(TRIM(C442),_xlfn.ANCHORARRAY($L$5),$M$5:$M$18)</f>
        <v>LEGUMEX</v>
      </c>
      <c r="I442" t="str">
        <v>Tomates pelées</v>
      </c>
      <c r="J442">
        <f t="shared" si="11"/>
        <v>4</v>
      </c>
    </row>
    <row r="443" spans="1:10" x14ac:dyDescent="0.25">
      <c r="A443" t="s">
        <v>608</v>
      </c>
      <c r="B443" t="s">
        <v>604</v>
      </c>
      <c r="C443" t="s">
        <v>46</v>
      </c>
      <c r="D443" t="s">
        <v>24</v>
      </c>
      <c r="E443">
        <v>6</v>
      </c>
      <c r="F443" t="s">
        <v>25</v>
      </c>
      <c r="G443">
        <v>23.67</v>
      </c>
      <c r="H443" t="str" cm="1">
        <f t="array" ref="H443">_xlfn.XLOOKUP(TRIM(C443),_xlfn.ANCHORARRAY($L$5),$M$5:$M$18)</f>
        <v>LEGUMEX</v>
      </c>
      <c r="I443" t="str">
        <v>Huile olive</v>
      </c>
      <c r="J443">
        <f t="shared" si="11"/>
        <v>6</v>
      </c>
    </row>
    <row r="444" spans="1:10" x14ac:dyDescent="0.25">
      <c r="A444" t="s">
        <v>609</v>
      </c>
      <c r="B444" t="s">
        <v>604</v>
      </c>
      <c r="C444" t="s">
        <v>23</v>
      </c>
      <c r="D444" t="s">
        <v>28</v>
      </c>
      <c r="E444">
        <v>10</v>
      </c>
      <c r="F444" t="s">
        <v>29</v>
      </c>
      <c r="G444">
        <v>9.5299999999999994</v>
      </c>
      <c r="H444" t="str" cm="1">
        <f t="array" ref="H444">_xlfn.XLOOKUP(TRIM(C444),_xlfn.ANCHORARRAY($L$5),$M$5:$M$18)</f>
        <v>LEGUMEX</v>
      </c>
      <c r="I444" t="str">
        <v>Sauce tomate</v>
      </c>
      <c r="J444">
        <f t="shared" si="11"/>
        <v>10</v>
      </c>
    </row>
    <row r="445" spans="1:10" x14ac:dyDescent="0.25">
      <c r="A445" t="s">
        <v>610</v>
      </c>
      <c r="B445" t="s">
        <v>611</v>
      </c>
      <c r="C445" t="s">
        <v>100</v>
      </c>
      <c r="D445" t="s">
        <v>33</v>
      </c>
      <c r="E445">
        <v>5</v>
      </c>
      <c r="F445" t="s">
        <v>17</v>
      </c>
      <c r="G445">
        <v>8.43</v>
      </c>
      <c r="H445" t="str" cm="1">
        <f t="array" ref="H445">_xlfn.XLOOKUP(TRIM(C445),_xlfn.ANCHORARRAY($L$5),$M$5:$M$18)</f>
        <v>B. Halal Pro</v>
      </c>
      <c r="I445" t="str">
        <v>Viande hachée</v>
      </c>
      <c r="J445">
        <f t="shared" si="11"/>
        <v>5</v>
      </c>
    </row>
    <row r="446" spans="1:10" x14ac:dyDescent="0.25">
      <c r="A446" t="s">
        <v>612</v>
      </c>
      <c r="B446" t="s">
        <v>611</v>
      </c>
      <c r="C446" t="s">
        <v>66</v>
      </c>
      <c r="D446" t="s">
        <v>35</v>
      </c>
      <c r="E446">
        <v>6</v>
      </c>
      <c r="F446" t="s">
        <v>17</v>
      </c>
      <c r="G446">
        <v>6.99</v>
      </c>
      <c r="H446" t="str" cm="1">
        <f t="array" ref="H446">_xlfn.XLOOKUP(TRIM(C446),_xlfn.ANCHORARRAY($L$5),$M$5:$M$18)</f>
        <v>B. Halal Pro</v>
      </c>
      <c r="I446" t="str">
        <v>Poulet émincé</v>
      </c>
      <c r="J446">
        <f t="shared" si="11"/>
        <v>6</v>
      </c>
    </row>
    <row r="447" spans="1:10" x14ac:dyDescent="0.25">
      <c r="A447" t="s">
        <v>613</v>
      </c>
      <c r="B447" t="s">
        <v>611</v>
      </c>
      <c r="C447" t="s">
        <v>83</v>
      </c>
      <c r="D447" t="s">
        <v>38</v>
      </c>
      <c r="E447">
        <v>12</v>
      </c>
      <c r="F447" t="s">
        <v>39</v>
      </c>
      <c r="G447">
        <v>5.83</v>
      </c>
      <c r="H447" t="str" cm="1">
        <f t="array" ref="H447">_xlfn.XLOOKUP(TRIM(C447),_xlfn.ANCHORARRAY($L$5),$M$5:$M$18)</f>
        <v>Boul. Express</v>
      </c>
      <c r="I447" t="str">
        <v>Pain burger</v>
      </c>
      <c r="J447">
        <f t="shared" si="11"/>
        <v>12</v>
      </c>
    </row>
    <row r="448" spans="1:10" x14ac:dyDescent="0.25">
      <c r="A448" t="s">
        <v>614</v>
      </c>
      <c r="B448" t="s">
        <v>611</v>
      </c>
      <c r="C448" t="s">
        <v>41</v>
      </c>
      <c r="D448" t="s">
        <v>42</v>
      </c>
      <c r="E448">
        <v>8</v>
      </c>
      <c r="F448" t="s">
        <v>43</v>
      </c>
      <c r="G448">
        <v>3.99</v>
      </c>
      <c r="H448" t="str" cm="1">
        <f t="array" ref="H448">_xlfn.XLOOKUP(TRIM(C448),_xlfn.ANCHORARRAY($L$5),$M$5:$M$18)</f>
        <v>Boul. Express</v>
      </c>
      <c r="I448" t="str">
        <v>Pain pita</v>
      </c>
      <c r="J448">
        <f t="shared" si="11"/>
        <v>8</v>
      </c>
    </row>
    <row r="449" spans="1:10" x14ac:dyDescent="0.25">
      <c r="A449" t="s">
        <v>615</v>
      </c>
      <c r="B449" t="s">
        <v>616</v>
      </c>
      <c r="C449" t="s">
        <v>23</v>
      </c>
      <c r="D449" t="s">
        <v>20</v>
      </c>
      <c r="E449">
        <v>8</v>
      </c>
      <c r="F449" t="s">
        <v>21</v>
      </c>
      <c r="G449">
        <v>4.28</v>
      </c>
      <c r="H449" t="str" cm="1">
        <f t="array" ref="H449">_xlfn.XLOOKUP(TRIM(C449),_xlfn.ANCHORARRAY($L$5),$M$5:$M$18)</f>
        <v>LEGUMEX</v>
      </c>
      <c r="I449" t="str">
        <v>Tomates pelées</v>
      </c>
      <c r="J449">
        <f t="shared" si="11"/>
        <v>8</v>
      </c>
    </row>
    <row r="450" spans="1:10" x14ac:dyDescent="0.25">
      <c r="A450" t="s">
        <v>617</v>
      </c>
      <c r="B450" t="s">
        <v>616</v>
      </c>
      <c r="C450" t="s">
        <v>23</v>
      </c>
      <c r="D450" t="s">
        <v>24</v>
      </c>
      <c r="E450">
        <v>8</v>
      </c>
      <c r="F450" t="s">
        <v>25</v>
      </c>
      <c r="G450">
        <v>23.51</v>
      </c>
      <c r="H450" t="str" cm="1">
        <f t="array" ref="H450">_xlfn.XLOOKUP(TRIM(C450),_xlfn.ANCHORARRAY($L$5),$M$5:$M$18)</f>
        <v>LEGUMEX</v>
      </c>
      <c r="I450" t="str">
        <v>Huile olive</v>
      </c>
      <c r="J450">
        <f t="shared" ref="J450:J513" si="12">IF(E450&lt;&gt;0,E450,_xlfn.XLOOKUP(I450,$Q$5:$Q$16,$Y$5:$Y$16))</f>
        <v>8</v>
      </c>
    </row>
    <row r="451" spans="1:10" x14ac:dyDescent="0.25">
      <c r="A451" t="s">
        <v>618</v>
      </c>
      <c r="B451" t="s">
        <v>616</v>
      </c>
      <c r="C451" t="s">
        <v>46</v>
      </c>
      <c r="D451" t="s">
        <v>28</v>
      </c>
      <c r="E451">
        <v>6</v>
      </c>
      <c r="F451" t="s">
        <v>29</v>
      </c>
      <c r="G451">
        <v>10.09</v>
      </c>
      <c r="H451" t="str" cm="1">
        <f t="array" ref="H451">_xlfn.XLOOKUP(TRIM(C451),_xlfn.ANCHORARRAY($L$5),$M$5:$M$18)</f>
        <v>LEGUMEX</v>
      </c>
      <c r="I451" t="str">
        <v>Sauce tomate</v>
      </c>
      <c r="J451">
        <f t="shared" si="12"/>
        <v>6</v>
      </c>
    </row>
    <row r="452" spans="1:10" x14ac:dyDescent="0.25">
      <c r="A452" t="s">
        <v>619</v>
      </c>
      <c r="B452" t="s">
        <v>616</v>
      </c>
      <c r="C452" t="s">
        <v>242</v>
      </c>
      <c r="D452" t="s">
        <v>51</v>
      </c>
      <c r="E452">
        <v>2</v>
      </c>
      <c r="F452" t="s">
        <v>52</v>
      </c>
      <c r="G452">
        <v>18.690000000000001</v>
      </c>
      <c r="H452" t="str" cm="1">
        <f t="array" ref="H452">_xlfn.XLOOKUP(TRIM(C452),_xlfn.ANCHORARRAY($L$5),$M$5:$M$18)</f>
        <v>Moulin du Nord</v>
      </c>
      <c r="I452" t="str">
        <v>Farine</v>
      </c>
      <c r="J452">
        <f t="shared" si="12"/>
        <v>2</v>
      </c>
    </row>
    <row r="453" spans="1:10" x14ac:dyDescent="0.25">
      <c r="A453" t="s">
        <v>620</v>
      </c>
      <c r="B453" t="s">
        <v>616</v>
      </c>
      <c r="C453" t="s">
        <v>54</v>
      </c>
      <c r="D453" t="s">
        <v>55</v>
      </c>
      <c r="E453">
        <v>6</v>
      </c>
      <c r="F453" t="s">
        <v>17</v>
      </c>
      <c r="G453">
        <v>9.4600000000000009</v>
      </c>
      <c r="H453" t="str" cm="1">
        <f t="array" ref="H453">_xlfn.XLOOKUP(TRIM(C453),_xlfn.ANCHORARRAY($L$5),$M$5:$M$18)</f>
        <v>Fromag. Centrale</v>
      </c>
      <c r="I453" t="str">
        <v>Mozzarella</v>
      </c>
      <c r="J453">
        <f t="shared" si="12"/>
        <v>6</v>
      </c>
    </row>
    <row r="454" spans="1:10" x14ac:dyDescent="0.25">
      <c r="A454" t="s">
        <v>621</v>
      </c>
      <c r="B454" t="s">
        <v>622</v>
      </c>
      <c r="C454" t="s">
        <v>59</v>
      </c>
      <c r="D454" t="s">
        <v>10</v>
      </c>
      <c r="E454">
        <v>5</v>
      </c>
      <c r="F454" t="s">
        <v>11</v>
      </c>
      <c r="G454">
        <v>14.59</v>
      </c>
      <c r="H454" t="str" cm="1">
        <f t="array" ref="H454">_xlfn.XLOOKUP(TRIM(C454),_xlfn.ANCHORARRAY($L$5),$M$5:$M$18)</f>
        <v>Metro</v>
      </c>
      <c r="I454" t="str">
        <v>Coca Cola</v>
      </c>
      <c r="J454">
        <f t="shared" si="12"/>
        <v>5</v>
      </c>
    </row>
    <row r="455" spans="1:10" x14ac:dyDescent="0.25">
      <c r="A455" t="s">
        <v>623</v>
      </c>
      <c r="B455" t="s">
        <v>622</v>
      </c>
      <c r="C455" t="s">
        <v>97</v>
      </c>
      <c r="D455" t="s">
        <v>14</v>
      </c>
      <c r="E455">
        <v>5</v>
      </c>
      <c r="F455" t="s">
        <v>11</v>
      </c>
      <c r="G455">
        <v>12.95</v>
      </c>
      <c r="H455" t="str" cm="1">
        <f t="array" ref="H455">_xlfn.XLOOKUP(TRIM(C455),_xlfn.ANCHORARRAY($L$5),$M$5:$M$18)</f>
        <v>Metro</v>
      </c>
      <c r="I455" t="str">
        <v>7up</v>
      </c>
      <c r="J455">
        <f t="shared" si="12"/>
        <v>5</v>
      </c>
    </row>
    <row r="456" spans="1:10" x14ac:dyDescent="0.25">
      <c r="A456" t="s">
        <v>624</v>
      </c>
      <c r="B456" t="s">
        <v>622</v>
      </c>
      <c r="C456" t="s">
        <v>59</v>
      </c>
      <c r="D456" t="s">
        <v>16</v>
      </c>
      <c r="E456">
        <v>6</v>
      </c>
      <c r="F456" t="s">
        <v>17</v>
      </c>
      <c r="G456">
        <v>1.25</v>
      </c>
      <c r="H456" t="str" cm="1">
        <f t="array" ref="H456">_xlfn.XLOOKUP(TRIM(C456),_xlfn.ANCHORARRAY($L$5),$M$5:$M$18)</f>
        <v>Metro</v>
      </c>
      <c r="I456" t="str">
        <v>Sel</v>
      </c>
      <c r="J456">
        <f t="shared" si="12"/>
        <v>6</v>
      </c>
    </row>
    <row r="457" spans="1:10" x14ac:dyDescent="0.25">
      <c r="A457" t="s">
        <v>625</v>
      </c>
      <c r="B457" t="s">
        <v>626</v>
      </c>
      <c r="C457" t="s">
        <v>100</v>
      </c>
      <c r="D457" t="s">
        <v>33</v>
      </c>
      <c r="E457">
        <v>8</v>
      </c>
      <c r="F457" t="s">
        <v>17</v>
      </c>
      <c r="G457">
        <v>9.02</v>
      </c>
      <c r="H457" t="str" cm="1">
        <f t="array" ref="H457">_xlfn.XLOOKUP(TRIM(C457),_xlfn.ANCHORARRAY($L$5),$M$5:$M$18)</f>
        <v>B. Halal Pro</v>
      </c>
      <c r="I457" t="str">
        <v>Viande hachée</v>
      </c>
      <c r="J457">
        <f t="shared" si="12"/>
        <v>8</v>
      </c>
    </row>
    <row r="458" spans="1:10" x14ac:dyDescent="0.25">
      <c r="A458" t="s">
        <v>627</v>
      </c>
      <c r="B458" t="s">
        <v>626</v>
      </c>
      <c r="C458" t="s">
        <v>64</v>
      </c>
      <c r="D458" t="s">
        <v>35</v>
      </c>
      <c r="E458">
        <v>10</v>
      </c>
      <c r="F458" t="s">
        <v>17</v>
      </c>
      <c r="G458">
        <v>7.02</v>
      </c>
      <c r="H458" t="str" cm="1">
        <f t="array" ref="H458">_xlfn.XLOOKUP(TRIM(C458),_xlfn.ANCHORARRAY($L$5),$M$5:$M$18)</f>
        <v>B. Halal Pro</v>
      </c>
      <c r="I458" t="str">
        <v>Poulet émincé</v>
      </c>
      <c r="J458">
        <f t="shared" si="12"/>
        <v>10</v>
      </c>
    </row>
    <row r="459" spans="1:10" x14ac:dyDescent="0.25">
      <c r="A459" t="s">
        <v>628</v>
      </c>
      <c r="B459" t="s">
        <v>626</v>
      </c>
      <c r="C459" t="s">
        <v>69</v>
      </c>
      <c r="D459" t="s">
        <v>38</v>
      </c>
      <c r="E459">
        <v>10</v>
      </c>
      <c r="F459" t="s">
        <v>39</v>
      </c>
      <c r="G459">
        <v>5.76</v>
      </c>
      <c r="H459" t="str" cm="1">
        <f t="array" ref="H459">_xlfn.XLOOKUP(TRIM(C459),_xlfn.ANCHORARRAY($L$5),$M$5:$M$18)</f>
        <v>Boul. Express</v>
      </c>
      <c r="I459" t="str">
        <v>Pain burger</v>
      </c>
      <c r="J459">
        <f t="shared" si="12"/>
        <v>10</v>
      </c>
    </row>
    <row r="460" spans="1:10" x14ac:dyDescent="0.25">
      <c r="A460" t="s">
        <v>629</v>
      </c>
      <c r="B460" t="s">
        <v>626</v>
      </c>
      <c r="C460" t="s">
        <v>37</v>
      </c>
      <c r="D460" t="s">
        <v>42</v>
      </c>
      <c r="E460">
        <v>8</v>
      </c>
      <c r="F460" t="s">
        <v>43</v>
      </c>
      <c r="G460">
        <v>3.85</v>
      </c>
      <c r="H460" t="str" cm="1">
        <f t="array" ref="H460">_xlfn.XLOOKUP(TRIM(C460),_xlfn.ANCHORARRAY($L$5),$M$5:$M$18)</f>
        <v>Boul. Express</v>
      </c>
      <c r="I460" t="str">
        <v>Pain pita</v>
      </c>
      <c r="J460">
        <f t="shared" si="12"/>
        <v>8</v>
      </c>
    </row>
    <row r="461" spans="1:10" x14ac:dyDescent="0.25">
      <c r="A461" t="s">
        <v>630</v>
      </c>
      <c r="B461" t="s">
        <v>631</v>
      </c>
      <c r="C461" t="s">
        <v>92</v>
      </c>
      <c r="D461" t="s">
        <v>55</v>
      </c>
      <c r="E461">
        <v>4</v>
      </c>
      <c r="F461" t="s">
        <v>17</v>
      </c>
      <c r="G461">
        <v>9.27</v>
      </c>
      <c r="H461" t="str" cm="1">
        <f t="array" ref="H461">_xlfn.XLOOKUP(TRIM(C461),_xlfn.ANCHORARRAY($L$5),$M$5:$M$18)</f>
        <v>Fromag. Centrale</v>
      </c>
      <c r="I461" t="str">
        <v>Mozzarella</v>
      </c>
      <c r="J461">
        <f t="shared" si="12"/>
        <v>4</v>
      </c>
    </row>
    <row r="462" spans="1:10" x14ac:dyDescent="0.25">
      <c r="A462" t="s">
        <v>632</v>
      </c>
      <c r="B462" t="s">
        <v>633</v>
      </c>
      <c r="C462" t="s">
        <v>97</v>
      </c>
      <c r="D462" t="s">
        <v>10</v>
      </c>
      <c r="E462">
        <v>6</v>
      </c>
      <c r="F462" t="s">
        <v>11</v>
      </c>
      <c r="G462">
        <v>14.1</v>
      </c>
      <c r="H462" t="str" cm="1">
        <f t="array" ref="H462">_xlfn.XLOOKUP(TRIM(C462),_xlfn.ANCHORARRAY($L$5),$M$5:$M$18)</f>
        <v>Metro</v>
      </c>
      <c r="I462" t="str">
        <v>Coca Cola</v>
      </c>
      <c r="J462">
        <f t="shared" si="12"/>
        <v>6</v>
      </c>
    </row>
    <row r="463" spans="1:10" x14ac:dyDescent="0.25">
      <c r="A463" t="s">
        <v>634</v>
      </c>
      <c r="B463" t="s">
        <v>633</v>
      </c>
      <c r="C463" t="s">
        <v>9</v>
      </c>
      <c r="D463" t="s">
        <v>14</v>
      </c>
      <c r="E463">
        <v>4</v>
      </c>
      <c r="F463" t="s">
        <v>11</v>
      </c>
      <c r="G463">
        <v>13.29</v>
      </c>
      <c r="H463" t="str" cm="1">
        <f t="array" ref="H463">_xlfn.XLOOKUP(TRIM(C463),_xlfn.ANCHORARRAY($L$5),$M$5:$M$18)</f>
        <v>Metro</v>
      </c>
      <c r="I463" t="str">
        <v>7up</v>
      </c>
      <c r="J463">
        <f t="shared" si="12"/>
        <v>4</v>
      </c>
    </row>
    <row r="464" spans="1:10" x14ac:dyDescent="0.25">
      <c r="A464" t="s">
        <v>635</v>
      </c>
      <c r="B464" t="s">
        <v>633</v>
      </c>
      <c r="C464" t="s">
        <v>59</v>
      </c>
      <c r="D464" t="s">
        <v>16</v>
      </c>
      <c r="E464">
        <v>6</v>
      </c>
      <c r="F464" t="s">
        <v>17</v>
      </c>
      <c r="G464">
        <v>1.23</v>
      </c>
      <c r="H464" t="str" cm="1">
        <f t="array" ref="H464">_xlfn.XLOOKUP(TRIM(C464),_xlfn.ANCHORARRAY($L$5),$M$5:$M$18)</f>
        <v>Metro</v>
      </c>
      <c r="I464" t="str">
        <v>Sel</v>
      </c>
      <c r="J464">
        <f t="shared" si="12"/>
        <v>6</v>
      </c>
    </row>
    <row r="465" spans="1:10" x14ac:dyDescent="0.25">
      <c r="A465" t="s">
        <v>636</v>
      </c>
      <c r="B465" t="s">
        <v>633</v>
      </c>
      <c r="C465" t="s">
        <v>46</v>
      </c>
      <c r="D465" t="s">
        <v>20</v>
      </c>
      <c r="E465">
        <v>4</v>
      </c>
      <c r="F465" t="s">
        <v>21</v>
      </c>
      <c r="G465">
        <v>4.17</v>
      </c>
      <c r="H465" t="str" cm="1">
        <f t="array" ref="H465">_xlfn.XLOOKUP(TRIM(C465),_xlfn.ANCHORARRAY($L$5),$M$5:$M$18)</f>
        <v>LEGUMEX</v>
      </c>
      <c r="I465" t="str">
        <v>Tomates pelées</v>
      </c>
      <c r="J465">
        <f t="shared" si="12"/>
        <v>4</v>
      </c>
    </row>
    <row r="466" spans="1:10" x14ac:dyDescent="0.25">
      <c r="A466" t="s">
        <v>637</v>
      </c>
      <c r="B466" t="s">
        <v>633</v>
      </c>
      <c r="C466" t="s">
        <v>27</v>
      </c>
      <c r="D466" t="s">
        <v>24</v>
      </c>
      <c r="E466">
        <v>6</v>
      </c>
      <c r="F466" t="s">
        <v>25</v>
      </c>
      <c r="G466">
        <v>22.77</v>
      </c>
      <c r="H466" t="str" cm="1">
        <f t="array" ref="H466">_xlfn.XLOOKUP(TRIM(C466),_xlfn.ANCHORARRAY($L$5),$M$5:$M$18)</f>
        <v>LEGUMEX</v>
      </c>
      <c r="I466" t="str">
        <v>Huile olive</v>
      </c>
      <c r="J466">
        <f t="shared" si="12"/>
        <v>6</v>
      </c>
    </row>
    <row r="467" spans="1:10" x14ac:dyDescent="0.25">
      <c r="A467" t="s">
        <v>638</v>
      </c>
      <c r="B467" t="s">
        <v>633</v>
      </c>
      <c r="C467" t="s">
        <v>27</v>
      </c>
      <c r="D467" t="s">
        <v>28</v>
      </c>
      <c r="E467">
        <v>6</v>
      </c>
      <c r="F467" t="s">
        <v>29</v>
      </c>
      <c r="G467">
        <v>10.47</v>
      </c>
      <c r="H467" t="str" cm="1">
        <f t="array" ref="H467">_xlfn.XLOOKUP(TRIM(C467),_xlfn.ANCHORARRAY($L$5),$M$5:$M$18)</f>
        <v>LEGUMEX</v>
      </c>
      <c r="I467" t="str">
        <v>Sauce tomate</v>
      </c>
      <c r="J467">
        <f t="shared" si="12"/>
        <v>6</v>
      </c>
    </row>
    <row r="468" spans="1:10" x14ac:dyDescent="0.25">
      <c r="A468" t="s">
        <v>639</v>
      </c>
      <c r="B468" t="s">
        <v>640</v>
      </c>
      <c r="C468" t="s">
        <v>100</v>
      </c>
      <c r="D468" t="s">
        <v>33</v>
      </c>
      <c r="E468">
        <v>5</v>
      </c>
      <c r="F468" t="s">
        <v>17</v>
      </c>
      <c r="G468">
        <v>10.49</v>
      </c>
      <c r="H468" t="str" cm="1">
        <f t="array" ref="H468">_xlfn.XLOOKUP(TRIM(C468),_xlfn.ANCHORARRAY($L$5),$M$5:$M$18)</f>
        <v>B. Halal Pro</v>
      </c>
      <c r="I468" t="str">
        <v>Viande hachée</v>
      </c>
      <c r="J468">
        <f t="shared" si="12"/>
        <v>5</v>
      </c>
    </row>
    <row r="469" spans="1:10" x14ac:dyDescent="0.25">
      <c r="A469" t="s">
        <v>641</v>
      </c>
      <c r="B469" t="s">
        <v>640</v>
      </c>
      <c r="C469" t="s">
        <v>66</v>
      </c>
      <c r="D469" t="s">
        <v>35</v>
      </c>
      <c r="E469">
        <v>6</v>
      </c>
      <c r="F469" t="s">
        <v>17</v>
      </c>
      <c r="G469">
        <v>7.53</v>
      </c>
      <c r="H469" t="str" cm="1">
        <f t="array" ref="H469">_xlfn.XLOOKUP(TRIM(C469),_xlfn.ANCHORARRAY($L$5),$M$5:$M$18)</f>
        <v>B. Halal Pro</v>
      </c>
      <c r="I469" t="str">
        <v>Poulet émincé</v>
      </c>
      <c r="J469">
        <f t="shared" si="12"/>
        <v>6</v>
      </c>
    </row>
    <row r="470" spans="1:10" x14ac:dyDescent="0.25">
      <c r="A470" t="s">
        <v>642</v>
      </c>
      <c r="B470" t="s">
        <v>640</v>
      </c>
      <c r="C470" t="s">
        <v>37</v>
      </c>
      <c r="D470" t="s">
        <v>38</v>
      </c>
      <c r="E470">
        <v>5</v>
      </c>
      <c r="F470" t="s">
        <v>39</v>
      </c>
      <c r="G470">
        <v>5.99</v>
      </c>
      <c r="H470" t="str" cm="1">
        <f t="array" ref="H470">_xlfn.XLOOKUP(TRIM(C470),_xlfn.ANCHORARRAY($L$5),$M$5:$M$18)</f>
        <v>Boul. Express</v>
      </c>
      <c r="I470" t="str">
        <v>Pain burger</v>
      </c>
      <c r="J470">
        <f t="shared" si="12"/>
        <v>5</v>
      </c>
    </row>
    <row r="471" spans="1:10" x14ac:dyDescent="0.25">
      <c r="A471" t="s">
        <v>643</v>
      </c>
      <c r="B471" t="s">
        <v>640</v>
      </c>
      <c r="C471" t="s">
        <v>41</v>
      </c>
      <c r="D471" t="s">
        <v>42</v>
      </c>
      <c r="E471">
        <v>10</v>
      </c>
      <c r="F471" t="s">
        <v>43</v>
      </c>
      <c r="G471">
        <v>4.04</v>
      </c>
      <c r="H471" t="str" cm="1">
        <f t="array" ref="H471">_xlfn.XLOOKUP(TRIM(C471),_xlfn.ANCHORARRAY($L$5),$M$5:$M$18)</f>
        <v>Boul. Express</v>
      </c>
      <c r="I471" t="str">
        <v>Pain pita</v>
      </c>
      <c r="J471">
        <f t="shared" si="12"/>
        <v>10</v>
      </c>
    </row>
    <row r="472" spans="1:10" x14ac:dyDescent="0.25">
      <c r="A472" t="s">
        <v>644</v>
      </c>
      <c r="B472" t="s">
        <v>645</v>
      </c>
      <c r="C472" t="s">
        <v>23</v>
      </c>
      <c r="D472" t="s">
        <v>20</v>
      </c>
      <c r="E472">
        <v>6</v>
      </c>
      <c r="F472" t="s">
        <v>21</v>
      </c>
      <c r="G472">
        <v>4.4800000000000004</v>
      </c>
      <c r="H472" t="str" cm="1">
        <f t="array" ref="H472">_xlfn.XLOOKUP(TRIM(C472),_xlfn.ANCHORARRAY($L$5),$M$5:$M$18)</f>
        <v>LEGUMEX</v>
      </c>
      <c r="I472" t="str">
        <v>Tomates pelées</v>
      </c>
      <c r="J472">
        <f t="shared" si="12"/>
        <v>6</v>
      </c>
    </row>
    <row r="473" spans="1:10" x14ac:dyDescent="0.25">
      <c r="A473" t="s">
        <v>646</v>
      </c>
      <c r="B473" t="s">
        <v>645</v>
      </c>
      <c r="C473" t="s">
        <v>23</v>
      </c>
      <c r="D473" t="s">
        <v>24</v>
      </c>
      <c r="E473">
        <v>4</v>
      </c>
      <c r="F473" t="s">
        <v>25</v>
      </c>
      <c r="G473">
        <v>21.68</v>
      </c>
      <c r="H473" t="str" cm="1">
        <f t="array" ref="H473">_xlfn.XLOOKUP(TRIM(C473),_xlfn.ANCHORARRAY($L$5),$M$5:$M$18)</f>
        <v>LEGUMEX</v>
      </c>
      <c r="I473" t="str">
        <v>Huile olive</v>
      </c>
      <c r="J473">
        <f t="shared" si="12"/>
        <v>4</v>
      </c>
    </row>
    <row r="474" spans="1:10" x14ac:dyDescent="0.25">
      <c r="A474" t="s">
        <v>647</v>
      </c>
      <c r="B474" t="s">
        <v>645</v>
      </c>
      <c r="C474" t="s">
        <v>23</v>
      </c>
      <c r="D474" t="s">
        <v>28</v>
      </c>
      <c r="F474" t="s">
        <v>29</v>
      </c>
      <c r="G474">
        <v>10.14</v>
      </c>
      <c r="H474" t="str" cm="1">
        <f t="array" ref="H474">_xlfn.XLOOKUP(TRIM(C474),_xlfn.ANCHORARRAY($L$5),$M$5:$M$18)</f>
        <v>LEGUMEX</v>
      </c>
      <c r="I474" t="str">
        <v>Sauce tomate</v>
      </c>
      <c r="J474">
        <f t="shared" si="12"/>
        <v>8</v>
      </c>
    </row>
    <row r="475" spans="1:10" x14ac:dyDescent="0.25">
      <c r="A475" t="s">
        <v>648</v>
      </c>
      <c r="B475" t="s">
        <v>645</v>
      </c>
      <c r="C475" t="s">
        <v>242</v>
      </c>
      <c r="D475" t="s">
        <v>51</v>
      </c>
      <c r="E475">
        <v>4</v>
      </c>
      <c r="F475" t="s">
        <v>52</v>
      </c>
      <c r="G475">
        <v>19.079999999999998</v>
      </c>
      <c r="H475" t="str" cm="1">
        <f t="array" ref="H475">_xlfn.XLOOKUP(TRIM(C475),_xlfn.ANCHORARRAY($L$5),$M$5:$M$18)</f>
        <v>Moulin du Nord</v>
      </c>
      <c r="I475" t="str">
        <v>Farine</v>
      </c>
      <c r="J475">
        <f t="shared" si="12"/>
        <v>4</v>
      </c>
    </row>
    <row r="476" spans="1:10" x14ac:dyDescent="0.25">
      <c r="A476" t="s">
        <v>649</v>
      </c>
      <c r="B476" t="s">
        <v>645</v>
      </c>
      <c r="C476" t="s">
        <v>92</v>
      </c>
      <c r="D476" t="s">
        <v>55</v>
      </c>
      <c r="E476">
        <v>10</v>
      </c>
      <c r="F476" t="s">
        <v>17</v>
      </c>
      <c r="G476">
        <v>8.6199999999999992</v>
      </c>
      <c r="H476" t="str" cm="1">
        <f t="array" ref="H476">_xlfn.XLOOKUP(TRIM(C476),_xlfn.ANCHORARRAY($L$5),$M$5:$M$18)</f>
        <v>Fromag. Centrale</v>
      </c>
      <c r="I476" t="str">
        <v>Mozzarella</v>
      </c>
      <c r="J476">
        <f t="shared" si="12"/>
        <v>10</v>
      </c>
    </row>
    <row r="477" spans="1:10" x14ac:dyDescent="0.25">
      <c r="A477" t="s">
        <v>650</v>
      </c>
      <c r="B477" t="s">
        <v>651</v>
      </c>
      <c r="C477" t="s">
        <v>61</v>
      </c>
      <c r="D477" t="s">
        <v>10</v>
      </c>
      <c r="E477">
        <v>5</v>
      </c>
      <c r="F477" t="s">
        <v>11</v>
      </c>
      <c r="G477">
        <v>14.08</v>
      </c>
      <c r="H477" t="str" cm="1">
        <f t="array" ref="H477">_xlfn.XLOOKUP(TRIM(C477),_xlfn.ANCHORARRAY($L$5),$M$5:$M$18)</f>
        <v>Metro</v>
      </c>
      <c r="I477" t="str">
        <v>Coca Cola</v>
      </c>
      <c r="J477">
        <f t="shared" si="12"/>
        <v>5</v>
      </c>
    </row>
    <row r="478" spans="1:10" x14ac:dyDescent="0.25">
      <c r="A478" t="s">
        <v>652</v>
      </c>
      <c r="B478" t="s">
        <v>651</v>
      </c>
      <c r="C478" t="s">
        <v>13</v>
      </c>
      <c r="D478" t="s">
        <v>14</v>
      </c>
      <c r="E478">
        <v>4</v>
      </c>
      <c r="F478" t="s">
        <v>11</v>
      </c>
      <c r="G478">
        <v>13.37</v>
      </c>
      <c r="H478" t="str" cm="1">
        <f t="array" ref="H478">_xlfn.XLOOKUP(TRIM(C478),_xlfn.ANCHORARRAY($L$5),$M$5:$M$18)</f>
        <v>Metro</v>
      </c>
      <c r="I478" t="str">
        <v>7up</v>
      </c>
      <c r="J478">
        <f t="shared" si="12"/>
        <v>4</v>
      </c>
    </row>
    <row r="479" spans="1:10" x14ac:dyDescent="0.25">
      <c r="A479" t="s">
        <v>653</v>
      </c>
      <c r="B479" t="s">
        <v>651</v>
      </c>
      <c r="C479" t="s">
        <v>9</v>
      </c>
      <c r="D479" t="s">
        <v>16</v>
      </c>
      <c r="E479">
        <v>5</v>
      </c>
      <c r="F479" t="s">
        <v>17</v>
      </c>
      <c r="G479">
        <v>1.21</v>
      </c>
      <c r="H479" t="str" cm="1">
        <f t="array" ref="H479">_xlfn.XLOOKUP(TRIM(C479),_xlfn.ANCHORARRAY($L$5),$M$5:$M$18)</f>
        <v>Metro</v>
      </c>
      <c r="I479" t="str">
        <v>Sel</v>
      </c>
      <c r="J479">
        <f t="shared" si="12"/>
        <v>5</v>
      </c>
    </row>
    <row r="480" spans="1:10" x14ac:dyDescent="0.25">
      <c r="A480" t="s">
        <v>654</v>
      </c>
      <c r="B480" t="s">
        <v>655</v>
      </c>
      <c r="C480" t="s">
        <v>32</v>
      </c>
      <c r="D480" t="s">
        <v>33</v>
      </c>
      <c r="E480">
        <v>8</v>
      </c>
      <c r="F480" t="s">
        <v>17</v>
      </c>
      <c r="G480">
        <v>10.54</v>
      </c>
      <c r="H480" t="str" cm="1">
        <f t="array" ref="H480">_xlfn.XLOOKUP(TRIM(C480),_xlfn.ANCHORARRAY($L$5),$M$5:$M$18)</f>
        <v>B. Halal Pro</v>
      </c>
      <c r="I480" t="str">
        <v>Viande hachée</v>
      </c>
      <c r="J480">
        <f t="shared" si="12"/>
        <v>8</v>
      </c>
    </row>
    <row r="481" spans="1:10" x14ac:dyDescent="0.25">
      <c r="A481" t="s">
        <v>656</v>
      </c>
      <c r="B481" t="s">
        <v>655</v>
      </c>
      <c r="C481" t="s">
        <v>64</v>
      </c>
      <c r="D481" t="s">
        <v>35</v>
      </c>
      <c r="E481">
        <v>8</v>
      </c>
      <c r="F481" t="s">
        <v>17</v>
      </c>
      <c r="G481">
        <v>6.93</v>
      </c>
      <c r="H481" t="str" cm="1">
        <f t="array" ref="H481">_xlfn.XLOOKUP(TRIM(C481),_xlfn.ANCHORARRAY($L$5),$M$5:$M$18)</f>
        <v>B. Halal Pro</v>
      </c>
      <c r="I481" t="str">
        <v>Poulet émincé</v>
      </c>
      <c r="J481">
        <f t="shared" si="12"/>
        <v>8</v>
      </c>
    </row>
    <row r="482" spans="1:10" x14ac:dyDescent="0.25">
      <c r="A482" t="s">
        <v>657</v>
      </c>
      <c r="B482" t="s">
        <v>655</v>
      </c>
      <c r="C482" t="s">
        <v>41</v>
      </c>
      <c r="D482" t="s">
        <v>38</v>
      </c>
      <c r="E482">
        <v>12</v>
      </c>
      <c r="F482" t="s">
        <v>39</v>
      </c>
      <c r="G482">
        <v>5.92</v>
      </c>
      <c r="H482" t="str" cm="1">
        <f t="array" ref="H482">_xlfn.XLOOKUP(TRIM(C482),_xlfn.ANCHORARRAY($L$5),$M$5:$M$18)</f>
        <v>Boul. Express</v>
      </c>
      <c r="I482" t="str">
        <v>Pain burger</v>
      </c>
      <c r="J482">
        <f t="shared" si="12"/>
        <v>12</v>
      </c>
    </row>
    <row r="483" spans="1:10" x14ac:dyDescent="0.25">
      <c r="A483" t="s">
        <v>658</v>
      </c>
      <c r="B483" t="s">
        <v>655</v>
      </c>
      <c r="C483" t="s">
        <v>69</v>
      </c>
      <c r="D483" t="s">
        <v>42</v>
      </c>
      <c r="E483">
        <v>10</v>
      </c>
      <c r="F483" t="s">
        <v>43</v>
      </c>
      <c r="G483">
        <v>3.98</v>
      </c>
      <c r="H483" t="str" cm="1">
        <f t="array" ref="H483">_xlfn.XLOOKUP(TRIM(C483),_xlfn.ANCHORARRAY($L$5),$M$5:$M$18)</f>
        <v>Boul. Express</v>
      </c>
      <c r="I483" t="str">
        <v>Pain pita</v>
      </c>
      <c r="J483">
        <f t="shared" si="12"/>
        <v>10</v>
      </c>
    </row>
    <row r="484" spans="1:10" x14ac:dyDescent="0.25">
      <c r="A484" t="s">
        <v>659</v>
      </c>
      <c r="B484" t="s">
        <v>660</v>
      </c>
      <c r="C484" t="s">
        <v>54</v>
      </c>
      <c r="D484" t="s">
        <v>55</v>
      </c>
      <c r="E484">
        <v>6</v>
      </c>
      <c r="F484" t="s">
        <v>17</v>
      </c>
      <c r="G484">
        <v>8.89</v>
      </c>
      <c r="H484" t="str" cm="1">
        <f t="array" ref="H484">_xlfn.XLOOKUP(TRIM(C484),_xlfn.ANCHORARRAY($L$5),$M$5:$M$18)</f>
        <v>Fromag. Centrale</v>
      </c>
      <c r="I484" t="str">
        <v>Mozzarella</v>
      </c>
      <c r="J484">
        <f t="shared" si="12"/>
        <v>6</v>
      </c>
    </row>
    <row r="485" spans="1:10" x14ac:dyDescent="0.25">
      <c r="A485" t="s">
        <v>661</v>
      </c>
      <c r="B485" t="s">
        <v>662</v>
      </c>
      <c r="C485" t="s">
        <v>13</v>
      </c>
      <c r="D485" t="s">
        <v>10</v>
      </c>
      <c r="E485">
        <v>6</v>
      </c>
      <c r="F485" t="s">
        <v>11</v>
      </c>
      <c r="G485">
        <v>14.17</v>
      </c>
      <c r="H485" t="str" cm="1">
        <f t="array" ref="H485">_xlfn.XLOOKUP(TRIM(C485),_xlfn.ANCHORARRAY($L$5),$M$5:$M$18)</f>
        <v>Metro</v>
      </c>
      <c r="I485" t="str">
        <v>Coca Cola</v>
      </c>
      <c r="J485">
        <f t="shared" si="12"/>
        <v>6</v>
      </c>
    </row>
    <row r="486" spans="1:10" x14ac:dyDescent="0.25">
      <c r="A486" t="s">
        <v>663</v>
      </c>
      <c r="B486" t="s">
        <v>662</v>
      </c>
      <c r="C486" t="s">
        <v>61</v>
      </c>
      <c r="D486" t="s">
        <v>14</v>
      </c>
      <c r="E486">
        <v>5</v>
      </c>
      <c r="F486" t="s">
        <v>11</v>
      </c>
      <c r="G486">
        <v>13.3</v>
      </c>
      <c r="H486" t="str" cm="1">
        <f t="array" ref="H486">_xlfn.XLOOKUP(TRIM(C486),_xlfn.ANCHORARRAY($L$5),$M$5:$M$18)</f>
        <v>Metro</v>
      </c>
      <c r="I486" t="str">
        <v>7up</v>
      </c>
      <c r="J486">
        <f t="shared" si="12"/>
        <v>5</v>
      </c>
    </row>
    <row r="487" spans="1:10" x14ac:dyDescent="0.25">
      <c r="A487" t="s">
        <v>664</v>
      </c>
      <c r="B487" t="s">
        <v>662</v>
      </c>
      <c r="C487" t="s">
        <v>59</v>
      </c>
      <c r="D487" t="s">
        <v>16</v>
      </c>
      <c r="E487">
        <v>4</v>
      </c>
      <c r="F487" t="s">
        <v>17</v>
      </c>
      <c r="G487">
        <v>1.25</v>
      </c>
      <c r="H487" t="str" cm="1">
        <f t="array" ref="H487">_xlfn.XLOOKUP(TRIM(C487),_xlfn.ANCHORARRAY($L$5),$M$5:$M$18)</f>
        <v>Metro</v>
      </c>
      <c r="I487" t="str">
        <v>Sel</v>
      </c>
      <c r="J487">
        <f t="shared" si="12"/>
        <v>4</v>
      </c>
    </row>
    <row r="488" spans="1:10" x14ac:dyDescent="0.25">
      <c r="A488" t="s">
        <v>665</v>
      </c>
      <c r="B488" t="s">
        <v>662</v>
      </c>
      <c r="C488" t="s">
        <v>27</v>
      </c>
      <c r="D488" t="s">
        <v>20</v>
      </c>
      <c r="E488">
        <v>8</v>
      </c>
      <c r="F488" t="s">
        <v>21</v>
      </c>
      <c r="G488">
        <v>4.28</v>
      </c>
      <c r="H488" t="str" cm="1">
        <f t="array" ref="H488">_xlfn.XLOOKUP(TRIM(C488),_xlfn.ANCHORARRAY($L$5),$M$5:$M$18)</f>
        <v>LEGUMEX</v>
      </c>
      <c r="I488" t="str">
        <v>Tomates pelées</v>
      </c>
      <c r="J488">
        <f t="shared" si="12"/>
        <v>8</v>
      </c>
    </row>
    <row r="489" spans="1:10" x14ac:dyDescent="0.25">
      <c r="A489" t="s">
        <v>666</v>
      </c>
      <c r="B489" t="s">
        <v>662</v>
      </c>
      <c r="C489" t="s">
        <v>27</v>
      </c>
      <c r="D489" t="s">
        <v>24</v>
      </c>
      <c r="E489">
        <v>6</v>
      </c>
      <c r="F489" t="s">
        <v>25</v>
      </c>
      <c r="G489">
        <v>21.08</v>
      </c>
      <c r="H489" t="str" cm="1">
        <f t="array" ref="H489">_xlfn.XLOOKUP(TRIM(C489),_xlfn.ANCHORARRAY($L$5),$M$5:$M$18)</f>
        <v>LEGUMEX</v>
      </c>
      <c r="I489" t="str">
        <v>Huile olive</v>
      </c>
      <c r="J489">
        <f t="shared" si="12"/>
        <v>6</v>
      </c>
    </row>
    <row r="490" spans="1:10" x14ac:dyDescent="0.25">
      <c r="A490" t="s">
        <v>667</v>
      </c>
      <c r="B490" t="s">
        <v>662</v>
      </c>
      <c r="C490" t="s">
        <v>19</v>
      </c>
      <c r="D490" t="s">
        <v>28</v>
      </c>
      <c r="E490">
        <v>10</v>
      </c>
      <c r="F490" t="s">
        <v>29</v>
      </c>
      <c r="G490">
        <v>9.52</v>
      </c>
      <c r="H490" t="str" cm="1">
        <f t="array" ref="H490">_xlfn.XLOOKUP(TRIM(C490),_xlfn.ANCHORARRAY($L$5),$M$5:$M$18)</f>
        <v>LEGUMEX</v>
      </c>
      <c r="I490" t="str">
        <v>Sauce tomate</v>
      </c>
      <c r="J490">
        <f t="shared" si="12"/>
        <v>10</v>
      </c>
    </row>
    <row r="491" spans="1:10" x14ac:dyDescent="0.25">
      <c r="A491" t="s">
        <v>668</v>
      </c>
      <c r="B491" t="s">
        <v>669</v>
      </c>
      <c r="C491" t="s">
        <v>100</v>
      </c>
      <c r="D491" t="s">
        <v>33</v>
      </c>
      <c r="E491">
        <v>10</v>
      </c>
      <c r="F491" t="s">
        <v>17</v>
      </c>
      <c r="G491">
        <v>9.99</v>
      </c>
      <c r="H491" t="str" cm="1">
        <f t="array" ref="H491">_xlfn.XLOOKUP(TRIM(C491),_xlfn.ANCHORARRAY($L$5),$M$5:$M$18)</f>
        <v>B. Halal Pro</v>
      </c>
      <c r="I491" t="str">
        <v>Viande hachée</v>
      </c>
      <c r="J491">
        <f t="shared" si="12"/>
        <v>10</v>
      </c>
    </row>
    <row r="492" spans="1:10" x14ac:dyDescent="0.25">
      <c r="A492" t="s">
        <v>670</v>
      </c>
      <c r="B492" t="s">
        <v>669</v>
      </c>
      <c r="C492" t="s">
        <v>66</v>
      </c>
      <c r="D492" t="s">
        <v>35</v>
      </c>
      <c r="E492">
        <v>10</v>
      </c>
      <c r="F492" t="s">
        <v>17</v>
      </c>
      <c r="G492">
        <v>7.56</v>
      </c>
      <c r="H492" t="str" cm="1">
        <f t="array" ref="H492">_xlfn.XLOOKUP(TRIM(C492),_xlfn.ANCHORARRAY($L$5),$M$5:$M$18)</f>
        <v>B. Halal Pro</v>
      </c>
      <c r="I492" t="str">
        <v>Poulet émincé</v>
      </c>
      <c r="J492">
        <f t="shared" si="12"/>
        <v>10</v>
      </c>
    </row>
    <row r="493" spans="1:10" x14ac:dyDescent="0.25">
      <c r="A493" t="s">
        <v>671</v>
      </c>
      <c r="B493" t="s">
        <v>669</v>
      </c>
      <c r="C493" t="s">
        <v>69</v>
      </c>
      <c r="D493" t="s">
        <v>38</v>
      </c>
      <c r="E493">
        <v>5</v>
      </c>
      <c r="F493" t="s">
        <v>39</v>
      </c>
      <c r="G493">
        <v>5.84</v>
      </c>
      <c r="H493" t="str" cm="1">
        <f t="array" ref="H493">_xlfn.XLOOKUP(TRIM(C493),_xlfn.ANCHORARRAY($L$5),$M$5:$M$18)</f>
        <v>Boul. Express</v>
      </c>
      <c r="I493" t="str">
        <v>Pain burger</v>
      </c>
      <c r="J493">
        <f t="shared" si="12"/>
        <v>5</v>
      </c>
    </row>
    <row r="494" spans="1:10" x14ac:dyDescent="0.25">
      <c r="A494" t="s">
        <v>672</v>
      </c>
      <c r="B494" t="s">
        <v>669</v>
      </c>
      <c r="C494" t="s">
        <v>37</v>
      </c>
      <c r="D494" t="s">
        <v>42</v>
      </c>
      <c r="E494">
        <v>12</v>
      </c>
      <c r="F494" t="s">
        <v>43</v>
      </c>
      <c r="G494">
        <v>3.99</v>
      </c>
      <c r="H494" t="str" cm="1">
        <f t="array" ref="H494">_xlfn.XLOOKUP(TRIM(C494),_xlfn.ANCHORARRAY($L$5),$M$5:$M$18)</f>
        <v>Boul. Express</v>
      </c>
      <c r="I494" t="str">
        <v>Pain pita</v>
      </c>
      <c r="J494">
        <f t="shared" si="12"/>
        <v>12</v>
      </c>
    </row>
    <row r="495" spans="1:10" x14ac:dyDescent="0.25">
      <c r="A495" t="s">
        <v>673</v>
      </c>
      <c r="B495" t="s">
        <v>674</v>
      </c>
      <c r="C495" t="s">
        <v>27</v>
      </c>
      <c r="D495" t="s">
        <v>20</v>
      </c>
      <c r="E495">
        <v>4</v>
      </c>
      <c r="F495" t="s">
        <v>21</v>
      </c>
      <c r="G495">
        <v>4.4000000000000004</v>
      </c>
      <c r="H495" t="str" cm="1">
        <f t="array" ref="H495">_xlfn.XLOOKUP(TRIM(C495),_xlfn.ANCHORARRAY($L$5),$M$5:$M$18)</f>
        <v>LEGUMEX</v>
      </c>
      <c r="I495" t="str">
        <v>Tomates pelées</v>
      </c>
      <c r="J495">
        <f t="shared" si="12"/>
        <v>4</v>
      </c>
    </row>
    <row r="496" spans="1:10" x14ac:dyDescent="0.25">
      <c r="A496" t="s">
        <v>675</v>
      </c>
      <c r="B496" t="s">
        <v>674</v>
      </c>
      <c r="C496" t="s">
        <v>46</v>
      </c>
      <c r="D496" t="s">
        <v>24</v>
      </c>
      <c r="E496">
        <v>4</v>
      </c>
      <c r="F496" t="s">
        <v>25</v>
      </c>
      <c r="G496">
        <v>22.9</v>
      </c>
      <c r="H496" t="str" cm="1">
        <f t="array" ref="H496">_xlfn.XLOOKUP(TRIM(C496),_xlfn.ANCHORARRAY($L$5),$M$5:$M$18)</f>
        <v>LEGUMEX</v>
      </c>
      <c r="I496" t="str">
        <v>Huile olive</v>
      </c>
      <c r="J496">
        <f t="shared" si="12"/>
        <v>4</v>
      </c>
    </row>
    <row r="497" spans="1:10" x14ac:dyDescent="0.25">
      <c r="A497" t="s">
        <v>676</v>
      </c>
      <c r="B497" t="s">
        <v>674</v>
      </c>
      <c r="C497" t="s">
        <v>27</v>
      </c>
      <c r="D497" t="s">
        <v>28</v>
      </c>
      <c r="E497">
        <v>10</v>
      </c>
      <c r="F497" t="s">
        <v>29</v>
      </c>
      <c r="G497">
        <v>10.57</v>
      </c>
      <c r="H497" t="str" cm="1">
        <f t="array" ref="H497">_xlfn.XLOOKUP(TRIM(C497),_xlfn.ANCHORARRAY($L$5),$M$5:$M$18)</f>
        <v>LEGUMEX</v>
      </c>
      <c r="I497" t="str">
        <v>Sauce tomate</v>
      </c>
      <c r="J497">
        <f t="shared" si="12"/>
        <v>10</v>
      </c>
    </row>
    <row r="498" spans="1:10" x14ac:dyDescent="0.25">
      <c r="A498" t="s">
        <v>677</v>
      </c>
      <c r="B498" t="s">
        <v>674</v>
      </c>
      <c r="C498" t="s">
        <v>50</v>
      </c>
      <c r="D498" t="s">
        <v>51</v>
      </c>
      <c r="E498">
        <v>2</v>
      </c>
      <c r="F498" t="s">
        <v>52</v>
      </c>
      <c r="G498">
        <v>18.059999999999999</v>
      </c>
      <c r="H498" t="str" cm="1">
        <f t="array" ref="H498">_xlfn.XLOOKUP(TRIM(C498),_xlfn.ANCHORARRAY($L$5),$M$5:$M$18)</f>
        <v>Moulin du Nord</v>
      </c>
      <c r="I498" t="str">
        <v>Farine</v>
      </c>
      <c r="J498">
        <f t="shared" si="12"/>
        <v>2</v>
      </c>
    </row>
    <row r="499" spans="1:10" x14ac:dyDescent="0.25">
      <c r="A499" t="s">
        <v>678</v>
      </c>
      <c r="B499" t="s">
        <v>674</v>
      </c>
      <c r="C499" t="s">
        <v>195</v>
      </c>
      <c r="D499" t="s">
        <v>55</v>
      </c>
      <c r="E499">
        <v>10</v>
      </c>
      <c r="F499" t="s">
        <v>17</v>
      </c>
      <c r="G499">
        <v>8.9</v>
      </c>
      <c r="H499" t="str" cm="1">
        <f t="array" ref="H499">_xlfn.XLOOKUP(TRIM(C499),_xlfn.ANCHORARRAY($L$5),$M$5:$M$18)</f>
        <v>Fromag. Centrale</v>
      </c>
      <c r="I499" t="str">
        <v>Mozzarella</v>
      </c>
      <c r="J499">
        <f t="shared" si="12"/>
        <v>10</v>
      </c>
    </row>
    <row r="500" spans="1:10" x14ac:dyDescent="0.25">
      <c r="A500" t="s">
        <v>679</v>
      </c>
      <c r="B500" t="s">
        <v>680</v>
      </c>
      <c r="C500" t="s">
        <v>59</v>
      </c>
      <c r="D500" t="s">
        <v>10</v>
      </c>
      <c r="E500">
        <v>6</v>
      </c>
      <c r="F500" t="s">
        <v>11</v>
      </c>
      <c r="G500">
        <v>14.07</v>
      </c>
      <c r="H500" t="str" cm="1">
        <f t="array" ref="H500">_xlfn.XLOOKUP(TRIM(C500),_xlfn.ANCHORARRAY($L$5),$M$5:$M$18)</f>
        <v>Metro</v>
      </c>
      <c r="I500" t="str">
        <v>Coca Cola</v>
      </c>
      <c r="J500">
        <f t="shared" si="12"/>
        <v>6</v>
      </c>
    </row>
    <row r="501" spans="1:10" x14ac:dyDescent="0.25">
      <c r="A501" t="s">
        <v>681</v>
      </c>
      <c r="B501" t="s">
        <v>680</v>
      </c>
      <c r="C501" t="s">
        <v>61</v>
      </c>
      <c r="D501" t="s">
        <v>14</v>
      </c>
      <c r="E501">
        <v>4</v>
      </c>
      <c r="F501" t="s">
        <v>11</v>
      </c>
      <c r="G501">
        <v>13.58</v>
      </c>
      <c r="H501" t="str" cm="1">
        <f t="array" ref="H501">_xlfn.XLOOKUP(TRIM(C501),_xlfn.ANCHORARRAY($L$5),$M$5:$M$18)</f>
        <v>Metro</v>
      </c>
      <c r="I501" t="str">
        <v>7up</v>
      </c>
      <c r="J501">
        <f t="shared" si="12"/>
        <v>4</v>
      </c>
    </row>
    <row r="502" spans="1:10" x14ac:dyDescent="0.25">
      <c r="A502" t="s">
        <v>682</v>
      </c>
      <c r="B502" t="s">
        <v>680</v>
      </c>
      <c r="C502" t="s">
        <v>13</v>
      </c>
      <c r="D502" t="s">
        <v>16</v>
      </c>
      <c r="E502">
        <v>6</v>
      </c>
      <c r="F502" t="s">
        <v>17</v>
      </c>
      <c r="G502">
        <v>1.22</v>
      </c>
      <c r="H502" t="str" cm="1">
        <f t="array" ref="H502">_xlfn.XLOOKUP(TRIM(C502),_xlfn.ANCHORARRAY($L$5),$M$5:$M$18)</f>
        <v>Metro</v>
      </c>
      <c r="I502" t="str">
        <v>Sel</v>
      </c>
      <c r="J502">
        <f t="shared" si="12"/>
        <v>6</v>
      </c>
    </row>
    <row r="503" spans="1:10" x14ac:dyDescent="0.25">
      <c r="A503" t="s">
        <v>683</v>
      </c>
      <c r="B503" t="s">
        <v>684</v>
      </c>
      <c r="C503" t="s">
        <v>100</v>
      </c>
      <c r="D503" t="s">
        <v>33</v>
      </c>
      <c r="E503">
        <v>5</v>
      </c>
      <c r="F503" t="s">
        <v>17</v>
      </c>
      <c r="G503">
        <v>10.26</v>
      </c>
      <c r="H503" t="str" cm="1">
        <f t="array" ref="H503">_xlfn.XLOOKUP(TRIM(C503),_xlfn.ANCHORARRAY($L$5),$M$5:$M$18)</f>
        <v>B. Halal Pro</v>
      </c>
      <c r="I503" t="str">
        <v>Viande hachée</v>
      </c>
      <c r="J503">
        <f t="shared" si="12"/>
        <v>5</v>
      </c>
    </row>
    <row r="504" spans="1:10" x14ac:dyDescent="0.25">
      <c r="A504" t="s">
        <v>685</v>
      </c>
      <c r="B504" t="s">
        <v>684</v>
      </c>
      <c r="C504" t="s">
        <v>66</v>
      </c>
      <c r="D504" t="s">
        <v>35</v>
      </c>
      <c r="E504">
        <v>12</v>
      </c>
      <c r="F504" t="s">
        <v>17</v>
      </c>
      <c r="G504">
        <v>7.4</v>
      </c>
      <c r="H504" t="str" cm="1">
        <f t="array" ref="H504">_xlfn.XLOOKUP(TRIM(C504),_xlfn.ANCHORARRAY($L$5),$M$5:$M$18)</f>
        <v>B. Halal Pro</v>
      </c>
      <c r="I504" t="str">
        <v>Poulet émincé</v>
      </c>
      <c r="J504">
        <f t="shared" si="12"/>
        <v>12</v>
      </c>
    </row>
    <row r="505" spans="1:10" x14ac:dyDescent="0.25">
      <c r="A505" t="s">
        <v>686</v>
      </c>
      <c r="B505" t="s">
        <v>684</v>
      </c>
      <c r="C505" t="s">
        <v>69</v>
      </c>
      <c r="D505" t="s">
        <v>38</v>
      </c>
      <c r="E505">
        <v>8</v>
      </c>
      <c r="F505" t="s">
        <v>39</v>
      </c>
      <c r="G505">
        <v>5.97</v>
      </c>
      <c r="H505" t="str" cm="1">
        <f t="array" ref="H505">_xlfn.XLOOKUP(TRIM(C505),_xlfn.ANCHORARRAY($L$5),$M$5:$M$18)</f>
        <v>Boul. Express</v>
      </c>
      <c r="I505" t="str">
        <v>Pain burger</v>
      </c>
      <c r="J505">
        <f t="shared" si="12"/>
        <v>8</v>
      </c>
    </row>
    <row r="506" spans="1:10" x14ac:dyDescent="0.25">
      <c r="A506" t="s">
        <v>687</v>
      </c>
      <c r="B506" t="s">
        <v>684</v>
      </c>
      <c r="C506" t="s">
        <v>83</v>
      </c>
      <c r="D506" t="s">
        <v>42</v>
      </c>
      <c r="E506">
        <v>5</v>
      </c>
      <c r="F506" t="s">
        <v>43</v>
      </c>
      <c r="G506">
        <v>3.89</v>
      </c>
      <c r="H506" t="str" cm="1">
        <f t="array" ref="H506">_xlfn.XLOOKUP(TRIM(C506),_xlfn.ANCHORARRAY($L$5),$M$5:$M$18)</f>
        <v>Boul. Express</v>
      </c>
      <c r="I506" t="str">
        <v>Pain pita</v>
      </c>
      <c r="J506">
        <f t="shared" si="12"/>
        <v>5</v>
      </c>
    </row>
    <row r="507" spans="1:10" x14ac:dyDescent="0.25">
      <c r="A507" t="s">
        <v>688</v>
      </c>
      <c r="B507" t="s">
        <v>689</v>
      </c>
      <c r="C507" t="s">
        <v>195</v>
      </c>
      <c r="D507" t="s">
        <v>55</v>
      </c>
      <c r="E507">
        <v>4</v>
      </c>
      <c r="F507" t="s">
        <v>17</v>
      </c>
      <c r="G507">
        <v>9.24</v>
      </c>
      <c r="H507" t="str" cm="1">
        <f t="array" ref="H507">_xlfn.XLOOKUP(TRIM(C507),_xlfn.ANCHORARRAY($L$5),$M$5:$M$18)</f>
        <v>Fromag. Centrale</v>
      </c>
      <c r="I507" t="str">
        <v>Mozzarella</v>
      </c>
      <c r="J507">
        <f t="shared" si="12"/>
        <v>4</v>
      </c>
    </row>
    <row r="508" spans="1:10" x14ac:dyDescent="0.25">
      <c r="A508" t="s">
        <v>690</v>
      </c>
      <c r="B508" t="s">
        <v>691</v>
      </c>
      <c r="C508" t="s">
        <v>9</v>
      </c>
      <c r="D508" t="s">
        <v>10</v>
      </c>
      <c r="E508">
        <v>3</v>
      </c>
      <c r="F508" t="s">
        <v>11</v>
      </c>
      <c r="G508">
        <v>14.74</v>
      </c>
      <c r="H508" t="str" cm="1">
        <f t="array" ref="H508">_xlfn.XLOOKUP(TRIM(C508),_xlfn.ANCHORARRAY($L$5),$M$5:$M$18)</f>
        <v>Metro</v>
      </c>
      <c r="I508" t="str">
        <v>Coca Cola</v>
      </c>
      <c r="J508">
        <f t="shared" si="12"/>
        <v>3</v>
      </c>
    </row>
    <row r="509" spans="1:10" x14ac:dyDescent="0.25">
      <c r="A509" t="s">
        <v>692</v>
      </c>
      <c r="B509" t="s">
        <v>691</v>
      </c>
      <c r="C509" t="s">
        <v>9</v>
      </c>
      <c r="D509" t="s">
        <v>14</v>
      </c>
      <c r="E509">
        <v>4</v>
      </c>
      <c r="F509" t="s">
        <v>11</v>
      </c>
      <c r="G509">
        <v>13.68</v>
      </c>
      <c r="H509" t="str" cm="1">
        <f t="array" ref="H509">_xlfn.XLOOKUP(TRIM(C509),_xlfn.ANCHORARRAY($L$5),$M$5:$M$18)</f>
        <v>Metro</v>
      </c>
      <c r="I509" t="str">
        <v>7up</v>
      </c>
      <c r="J509">
        <f t="shared" si="12"/>
        <v>4</v>
      </c>
    </row>
    <row r="510" spans="1:10" x14ac:dyDescent="0.25">
      <c r="A510" t="s">
        <v>693</v>
      </c>
      <c r="B510" t="s">
        <v>691</v>
      </c>
      <c r="C510" t="s">
        <v>13</v>
      </c>
      <c r="D510" t="s">
        <v>16</v>
      </c>
      <c r="E510">
        <v>4</v>
      </c>
      <c r="F510" t="s">
        <v>17</v>
      </c>
      <c r="G510">
        <v>1.25</v>
      </c>
      <c r="H510" t="str" cm="1">
        <f t="array" ref="H510">_xlfn.XLOOKUP(TRIM(C510),_xlfn.ANCHORARRAY($L$5),$M$5:$M$18)</f>
        <v>Metro</v>
      </c>
      <c r="I510" t="str">
        <v>Sel</v>
      </c>
      <c r="J510">
        <f t="shared" si="12"/>
        <v>4</v>
      </c>
    </row>
    <row r="511" spans="1:10" x14ac:dyDescent="0.25">
      <c r="A511" t="s">
        <v>694</v>
      </c>
      <c r="B511" t="s">
        <v>691</v>
      </c>
      <c r="C511" t="s">
        <v>19</v>
      </c>
      <c r="D511" t="s">
        <v>20</v>
      </c>
      <c r="E511">
        <v>8</v>
      </c>
      <c r="F511" t="s">
        <v>21</v>
      </c>
      <c r="G511">
        <v>4.2699999999999996</v>
      </c>
      <c r="H511" t="str" cm="1">
        <f t="array" ref="H511">_xlfn.XLOOKUP(TRIM(C511),_xlfn.ANCHORARRAY($L$5),$M$5:$M$18)</f>
        <v>LEGUMEX</v>
      </c>
      <c r="I511" t="str">
        <v>Tomates pelées</v>
      </c>
      <c r="J511">
        <f t="shared" si="12"/>
        <v>8</v>
      </c>
    </row>
    <row r="512" spans="1:10" x14ac:dyDescent="0.25">
      <c r="A512" t="s">
        <v>695</v>
      </c>
      <c r="B512" t="s">
        <v>691</v>
      </c>
      <c r="C512" t="s">
        <v>46</v>
      </c>
      <c r="D512" t="s">
        <v>24</v>
      </c>
      <c r="E512">
        <v>8</v>
      </c>
      <c r="F512" t="s">
        <v>25</v>
      </c>
      <c r="G512">
        <v>22.55</v>
      </c>
      <c r="H512" t="str" cm="1">
        <f t="array" ref="H512">_xlfn.XLOOKUP(TRIM(C512),_xlfn.ANCHORARRAY($L$5),$M$5:$M$18)</f>
        <v>LEGUMEX</v>
      </c>
      <c r="I512" t="str">
        <v>Huile olive</v>
      </c>
      <c r="J512">
        <f t="shared" si="12"/>
        <v>8</v>
      </c>
    </row>
    <row r="513" spans="1:10" x14ac:dyDescent="0.25">
      <c r="A513" t="s">
        <v>696</v>
      </c>
      <c r="B513" t="s">
        <v>691</v>
      </c>
      <c r="C513" t="s">
        <v>19</v>
      </c>
      <c r="D513" t="s">
        <v>28</v>
      </c>
      <c r="E513">
        <v>6</v>
      </c>
      <c r="F513" t="s">
        <v>29</v>
      </c>
      <c r="G513">
        <v>10.57</v>
      </c>
      <c r="H513" t="str" cm="1">
        <f t="array" ref="H513">_xlfn.XLOOKUP(TRIM(C513),_xlfn.ANCHORARRAY($L$5),$M$5:$M$18)</f>
        <v>LEGUMEX</v>
      </c>
      <c r="I513" t="str">
        <v>Sauce tomate</v>
      </c>
      <c r="J513">
        <f t="shared" si="12"/>
        <v>6</v>
      </c>
    </row>
    <row r="514" spans="1:10" x14ac:dyDescent="0.25">
      <c r="A514" t="s">
        <v>697</v>
      </c>
      <c r="B514" t="s">
        <v>698</v>
      </c>
      <c r="C514" t="s">
        <v>32</v>
      </c>
      <c r="D514" t="s">
        <v>33</v>
      </c>
      <c r="E514">
        <v>12</v>
      </c>
      <c r="F514" t="s">
        <v>17</v>
      </c>
      <c r="G514">
        <v>8.5</v>
      </c>
      <c r="H514" t="str" cm="1">
        <f t="array" ref="H514">_xlfn.XLOOKUP(TRIM(C514),_xlfn.ANCHORARRAY($L$5),$M$5:$M$18)</f>
        <v>B. Halal Pro</v>
      </c>
      <c r="I514" t="str">
        <v>Viande hachée</v>
      </c>
      <c r="J514">
        <f t="shared" ref="J514:J577" si="13">IF(E514&lt;&gt;0,E514,_xlfn.XLOOKUP(I514,$Q$5:$Q$16,$Y$5:$Y$16))</f>
        <v>12</v>
      </c>
    </row>
    <row r="515" spans="1:10" x14ac:dyDescent="0.25">
      <c r="A515" t="s">
        <v>699</v>
      </c>
      <c r="B515" t="s">
        <v>698</v>
      </c>
      <c r="C515" t="s">
        <v>100</v>
      </c>
      <c r="D515" t="s">
        <v>35</v>
      </c>
      <c r="E515">
        <v>10</v>
      </c>
      <c r="F515" t="s">
        <v>17</v>
      </c>
      <c r="G515">
        <v>7.35</v>
      </c>
      <c r="H515" t="str" cm="1">
        <f t="array" ref="H515">_xlfn.XLOOKUP(TRIM(C515),_xlfn.ANCHORARRAY($L$5),$M$5:$M$18)</f>
        <v>B. Halal Pro</v>
      </c>
      <c r="I515" t="str">
        <v>Poulet émincé</v>
      </c>
      <c r="J515">
        <f t="shared" si="13"/>
        <v>10</v>
      </c>
    </row>
    <row r="516" spans="1:10" x14ac:dyDescent="0.25">
      <c r="A516" t="s">
        <v>700</v>
      </c>
      <c r="B516" t="s">
        <v>698</v>
      </c>
      <c r="C516" t="s">
        <v>41</v>
      </c>
      <c r="D516" t="s">
        <v>38</v>
      </c>
      <c r="E516">
        <v>12</v>
      </c>
      <c r="F516" t="s">
        <v>39</v>
      </c>
      <c r="G516">
        <v>6.02</v>
      </c>
      <c r="H516" t="str" cm="1">
        <f t="array" ref="H516">_xlfn.XLOOKUP(TRIM(C516),_xlfn.ANCHORARRAY($L$5),$M$5:$M$18)</f>
        <v>Boul. Express</v>
      </c>
      <c r="I516" t="str">
        <v>Pain burger</v>
      </c>
      <c r="J516">
        <f t="shared" si="13"/>
        <v>12</v>
      </c>
    </row>
    <row r="517" spans="1:10" x14ac:dyDescent="0.25">
      <c r="A517" t="s">
        <v>701</v>
      </c>
      <c r="B517" t="s">
        <v>698</v>
      </c>
      <c r="C517" t="s">
        <v>37</v>
      </c>
      <c r="D517" t="s">
        <v>42</v>
      </c>
      <c r="E517">
        <v>12</v>
      </c>
      <c r="F517" t="s">
        <v>43</v>
      </c>
      <c r="G517">
        <v>3.98</v>
      </c>
      <c r="H517" t="str" cm="1">
        <f t="array" ref="H517">_xlfn.XLOOKUP(TRIM(C517),_xlfn.ANCHORARRAY($L$5),$M$5:$M$18)</f>
        <v>Boul. Express</v>
      </c>
      <c r="I517" t="str">
        <v>Pain pita</v>
      </c>
      <c r="J517">
        <f t="shared" si="13"/>
        <v>12</v>
      </c>
    </row>
    <row r="518" spans="1:10" x14ac:dyDescent="0.25">
      <c r="A518" t="s">
        <v>702</v>
      </c>
      <c r="B518" t="s">
        <v>703</v>
      </c>
      <c r="C518" t="s">
        <v>23</v>
      </c>
      <c r="D518" t="s">
        <v>20</v>
      </c>
      <c r="E518">
        <v>10</v>
      </c>
      <c r="F518" t="s">
        <v>21</v>
      </c>
      <c r="G518">
        <v>4.09</v>
      </c>
      <c r="H518" t="str" cm="1">
        <f t="array" ref="H518">_xlfn.XLOOKUP(TRIM(C518),_xlfn.ANCHORARRAY($L$5),$M$5:$M$18)</f>
        <v>LEGUMEX</v>
      </c>
      <c r="I518" t="str">
        <v>Tomates pelées</v>
      </c>
      <c r="J518">
        <f t="shared" si="13"/>
        <v>10</v>
      </c>
    </row>
    <row r="519" spans="1:10" x14ac:dyDescent="0.25">
      <c r="A519" t="s">
        <v>704</v>
      </c>
      <c r="B519" t="s">
        <v>703</v>
      </c>
      <c r="C519" t="s">
        <v>19</v>
      </c>
      <c r="D519" t="s">
        <v>24</v>
      </c>
      <c r="E519">
        <v>6</v>
      </c>
      <c r="F519" t="s">
        <v>25</v>
      </c>
      <c r="G519">
        <v>21.76</v>
      </c>
      <c r="H519" t="str" cm="1">
        <f t="array" ref="H519">_xlfn.XLOOKUP(TRIM(C519),_xlfn.ANCHORARRAY($L$5),$M$5:$M$18)</f>
        <v>LEGUMEX</v>
      </c>
      <c r="I519" t="str">
        <v>Huile olive</v>
      </c>
      <c r="J519">
        <f t="shared" si="13"/>
        <v>6</v>
      </c>
    </row>
    <row r="520" spans="1:10" x14ac:dyDescent="0.25">
      <c r="A520" t="s">
        <v>705</v>
      </c>
      <c r="B520" t="s">
        <v>703</v>
      </c>
      <c r="C520" t="s">
        <v>27</v>
      </c>
      <c r="D520" t="s">
        <v>28</v>
      </c>
      <c r="E520">
        <v>10</v>
      </c>
      <c r="F520" t="s">
        <v>29</v>
      </c>
      <c r="G520">
        <v>10.029999999999999</v>
      </c>
      <c r="H520" t="str" cm="1">
        <f t="array" ref="H520">_xlfn.XLOOKUP(TRIM(C520),_xlfn.ANCHORARRAY($L$5),$M$5:$M$18)</f>
        <v>LEGUMEX</v>
      </c>
      <c r="I520" t="str">
        <v>Sauce tomate</v>
      </c>
      <c r="J520">
        <f t="shared" si="13"/>
        <v>10</v>
      </c>
    </row>
    <row r="521" spans="1:10" x14ac:dyDescent="0.25">
      <c r="A521" t="s">
        <v>706</v>
      </c>
      <c r="B521" t="s">
        <v>703</v>
      </c>
      <c r="C521" t="s">
        <v>152</v>
      </c>
      <c r="D521" t="s">
        <v>51</v>
      </c>
      <c r="E521">
        <v>3</v>
      </c>
      <c r="F521" t="s">
        <v>52</v>
      </c>
      <c r="G521">
        <v>18.41</v>
      </c>
      <c r="H521" t="str" cm="1">
        <f t="array" ref="H521">_xlfn.XLOOKUP(TRIM(C521),_xlfn.ANCHORARRAY($L$5),$M$5:$M$18)</f>
        <v>Moulin du Nord</v>
      </c>
      <c r="I521" t="str">
        <v>Farine</v>
      </c>
      <c r="J521">
        <f t="shared" si="13"/>
        <v>3</v>
      </c>
    </row>
    <row r="522" spans="1:10" x14ac:dyDescent="0.25">
      <c r="A522" t="s">
        <v>707</v>
      </c>
      <c r="B522" t="s">
        <v>703</v>
      </c>
      <c r="C522" t="s">
        <v>154</v>
      </c>
      <c r="D522" t="s">
        <v>55</v>
      </c>
      <c r="E522">
        <v>8</v>
      </c>
      <c r="F522" t="s">
        <v>17</v>
      </c>
      <c r="G522">
        <v>9.68</v>
      </c>
      <c r="H522" t="str" cm="1">
        <f t="array" ref="H522">_xlfn.XLOOKUP(TRIM(C522),_xlfn.ANCHORARRAY($L$5),$M$5:$M$18)</f>
        <v>Fromag. Centrale</v>
      </c>
      <c r="I522" t="str">
        <v>Mozzarella</v>
      </c>
      <c r="J522">
        <f t="shared" si="13"/>
        <v>8</v>
      </c>
    </row>
    <row r="523" spans="1:10" x14ac:dyDescent="0.25">
      <c r="A523" t="s">
        <v>708</v>
      </c>
      <c r="B523" t="s">
        <v>709</v>
      </c>
      <c r="C523" t="s">
        <v>13</v>
      </c>
      <c r="D523" t="s">
        <v>10</v>
      </c>
      <c r="E523">
        <v>3</v>
      </c>
      <c r="F523" t="s">
        <v>11</v>
      </c>
      <c r="G523">
        <v>14.32</v>
      </c>
      <c r="H523" t="str" cm="1">
        <f t="array" ref="H523">_xlfn.XLOOKUP(TRIM(C523),_xlfn.ANCHORARRAY($L$5),$M$5:$M$18)</f>
        <v>Metro</v>
      </c>
      <c r="I523" t="str">
        <v>Coca Cola</v>
      </c>
      <c r="J523">
        <f t="shared" si="13"/>
        <v>3</v>
      </c>
    </row>
    <row r="524" spans="1:10" x14ac:dyDescent="0.25">
      <c r="A524" t="s">
        <v>710</v>
      </c>
      <c r="B524" t="s">
        <v>709</v>
      </c>
      <c r="C524" t="s">
        <v>61</v>
      </c>
      <c r="D524" t="s">
        <v>14</v>
      </c>
      <c r="E524">
        <v>3</v>
      </c>
      <c r="F524" t="s">
        <v>11</v>
      </c>
      <c r="G524">
        <v>13.84</v>
      </c>
      <c r="H524" t="str" cm="1">
        <f t="array" ref="H524">_xlfn.XLOOKUP(TRIM(C524),_xlfn.ANCHORARRAY($L$5),$M$5:$M$18)</f>
        <v>Metro</v>
      </c>
      <c r="I524" t="str">
        <v>7up</v>
      </c>
      <c r="J524">
        <f t="shared" si="13"/>
        <v>3</v>
      </c>
    </row>
    <row r="525" spans="1:10" x14ac:dyDescent="0.25">
      <c r="A525" t="s">
        <v>711</v>
      </c>
      <c r="B525" t="s">
        <v>709</v>
      </c>
      <c r="C525" t="s">
        <v>61</v>
      </c>
      <c r="D525" t="s">
        <v>16</v>
      </c>
      <c r="E525">
        <v>4</v>
      </c>
      <c r="F525" t="s">
        <v>17</v>
      </c>
      <c r="G525">
        <v>1.22</v>
      </c>
      <c r="H525" t="str" cm="1">
        <f t="array" ref="H525">_xlfn.XLOOKUP(TRIM(C525),_xlfn.ANCHORARRAY($L$5),$M$5:$M$18)</f>
        <v>Metro</v>
      </c>
      <c r="I525" t="str">
        <v>Sel</v>
      </c>
      <c r="J525">
        <f t="shared" si="13"/>
        <v>4</v>
      </c>
    </row>
    <row r="526" spans="1:10" x14ac:dyDescent="0.25">
      <c r="A526" t="s">
        <v>712</v>
      </c>
      <c r="B526" t="s">
        <v>713</v>
      </c>
      <c r="C526" t="s">
        <v>32</v>
      </c>
      <c r="D526" t="s">
        <v>33</v>
      </c>
      <c r="E526">
        <v>5</v>
      </c>
      <c r="F526" t="s">
        <v>17</v>
      </c>
      <c r="G526">
        <v>9.0500000000000007</v>
      </c>
      <c r="H526" t="str" cm="1">
        <f t="array" ref="H526">_xlfn.XLOOKUP(TRIM(C526),_xlfn.ANCHORARRAY($L$5),$M$5:$M$18)</f>
        <v>B. Halal Pro</v>
      </c>
      <c r="I526" t="str">
        <v>Viande hachée</v>
      </c>
      <c r="J526">
        <f t="shared" si="13"/>
        <v>5</v>
      </c>
    </row>
    <row r="527" spans="1:10" x14ac:dyDescent="0.25">
      <c r="A527" t="s">
        <v>714</v>
      </c>
      <c r="B527" t="s">
        <v>713</v>
      </c>
      <c r="C527" t="s">
        <v>100</v>
      </c>
      <c r="D527" t="s">
        <v>35</v>
      </c>
      <c r="E527">
        <v>5</v>
      </c>
      <c r="F527" t="s">
        <v>17</v>
      </c>
      <c r="G527">
        <v>7.73</v>
      </c>
      <c r="H527" t="str" cm="1">
        <f t="array" ref="H527">_xlfn.XLOOKUP(TRIM(C527),_xlfn.ANCHORARRAY($L$5),$M$5:$M$18)</f>
        <v>B. Halal Pro</v>
      </c>
      <c r="I527" t="str">
        <v>Poulet émincé</v>
      </c>
      <c r="J527">
        <f t="shared" si="13"/>
        <v>5</v>
      </c>
    </row>
    <row r="528" spans="1:10" x14ac:dyDescent="0.25">
      <c r="A528" t="s">
        <v>715</v>
      </c>
      <c r="B528" t="s">
        <v>713</v>
      </c>
      <c r="C528" t="s">
        <v>69</v>
      </c>
      <c r="D528" t="s">
        <v>38</v>
      </c>
      <c r="E528">
        <v>8</v>
      </c>
      <c r="F528" t="s">
        <v>39</v>
      </c>
      <c r="G528">
        <v>6</v>
      </c>
      <c r="H528" t="str" cm="1">
        <f t="array" ref="H528">_xlfn.XLOOKUP(TRIM(C528),_xlfn.ANCHORARRAY($L$5),$M$5:$M$18)</f>
        <v>Boul. Express</v>
      </c>
      <c r="I528" t="str">
        <v>Pain burger</v>
      </c>
      <c r="J528">
        <f t="shared" si="13"/>
        <v>8</v>
      </c>
    </row>
    <row r="529" spans="1:10" x14ac:dyDescent="0.25">
      <c r="A529" t="s">
        <v>716</v>
      </c>
      <c r="B529" t="s">
        <v>713</v>
      </c>
      <c r="C529" t="s">
        <v>83</v>
      </c>
      <c r="D529" t="s">
        <v>42</v>
      </c>
      <c r="E529">
        <v>10</v>
      </c>
      <c r="F529" t="s">
        <v>43</v>
      </c>
      <c r="G529">
        <v>3.95</v>
      </c>
      <c r="H529" t="str" cm="1">
        <f t="array" ref="H529">_xlfn.XLOOKUP(TRIM(C529),_xlfn.ANCHORARRAY($L$5),$M$5:$M$18)</f>
        <v>Boul. Express</v>
      </c>
      <c r="I529" t="str">
        <v>Pain pita</v>
      </c>
      <c r="J529">
        <f t="shared" si="13"/>
        <v>10</v>
      </c>
    </row>
    <row r="530" spans="1:10" x14ac:dyDescent="0.25">
      <c r="A530" t="s">
        <v>717</v>
      </c>
      <c r="B530" t="s">
        <v>718</v>
      </c>
      <c r="C530" t="s">
        <v>54</v>
      </c>
      <c r="D530" t="s">
        <v>55</v>
      </c>
      <c r="E530">
        <v>8</v>
      </c>
      <c r="F530" t="s">
        <v>17</v>
      </c>
      <c r="G530">
        <v>8.81</v>
      </c>
      <c r="H530" t="str" cm="1">
        <f t="array" ref="H530">_xlfn.XLOOKUP(TRIM(C530),_xlfn.ANCHORARRAY($L$5),$M$5:$M$18)</f>
        <v>Fromag. Centrale</v>
      </c>
      <c r="I530" t="str">
        <v>Mozzarella</v>
      </c>
      <c r="J530">
        <f t="shared" si="13"/>
        <v>8</v>
      </c>
    </row>
    <row r="531" spans="1:10" x14ac:dyDescent="0.25">
      <c r="A531" t="s">
        <v>719</v>
      </c>
      <c r="B531" t="s">
        <v>720</v>
      </c>
      <c r="C531" t="s">
        <v>59</v>
      </c>
      <c r="D531" t="s">
        <v>10</v>
      </c>
      <c r="E531">
        <v>6</v>
      </c>
      <c r="F531" t="s">
        <v>11</v>
      </c>
      <c r="G531">
        <v>14.1</v>
      </c>
      <c r="H531" t="str" cm="1">
        <f t="array" ref="H531">_xlfn.XLOOKUP(TRIM(C531),_xlfn.ANCHORARRAY($L$5),$M$5:$M$18)</f>
        <v>Metro</v>
      </c>
      <c r="I531" t="str">
        <v>Coca Cola</v>
      </c>
      <c r="J531">
        <f t="shared" si="13"/>
        <v>6</v>
      </c>
    </row>
    <row r="532" spans="1:10" x14ac:dyDescent="0.25">
      <c r="A532" t="s">
        <v>721</v>
      </c>
      <c r="B532" t="s">
        <v>720</v>
      </c>
      <c r="C532" t="s">
        <v>59</v>
      </c>
      <c r="D532" t="s">
        <v>14</v>
      </c>
      <c r="E532">
        <v>5</v>
      </c>
      <c r="F532" t="s">
        <v>11</v>
      </c>
      <c r="G532">
        <v>13.89</v>
      </c>
      <c r="H532" t="str" cm="1">
        <f t="array" ref="H532">_xlfn.XLOOKUP(TRIM(C532),_xlfn.ANCHORARRAY($L$5),$M$5:$M$18)</f>
        <v>Metro</v>
      </c>
      <c r="I532" t="str">
        <v>7up</v>
      </c>
      <c r="J532">
        <f t="shared" si="13"/>
        <v>5</v>
      </c>
    </row>
    <row r="533" spans="1:10" x14ac:dyDescent="0.25">
      <c r="A533" t="s">
        <v>722</v>
      </c>
      <c r="B533" t="s">
        <v>720</v>
      </c>
      <c r="C533" t="s">
        <v>59</v>
      </c>
      <c r="D533" t="s">
        <v>16</v>
      </c>
      <c r="E533">
        <v>3</v>
      </c>
      <c r="F533" t="s">
        <v>17</v>
      </c>
      <c r="G533">
        <v>1.22</v>
      </c>
      <c r="H533" t="str" cm="1">
        <f t="array" ref="H533">_xlfn.XLOOKUP(TRIM(C533),_xlfn.ANCHORARRAY($L$5),$M$5:$M$18)</f>
        <v>Metro</v>
      </c>
      <c r="I533" t="str">
        <v>Sel</v>
      </c>
      <c r="J533">
        <f t="shared" si="13"/>
        <v>3</v>
      </c>
    </row>
    <row r="534" spans="1:10" x14ac:dyDescent="0.25">
      <c r="A534" t="s">
        <v>723</v>
      </c>
      <c r="B534" t="s">
        <v>720</v>
      </c>
      <c r="C534" t="s">
        <v>19</v>
      </c>
      <c r="D534" t="s">
        <v>20</v>
      </c>
      <c r="E534">
        <v>10</v>
      </c>
      <c r="F534" t="s">
        <v>21</v>
      </c>
      <c r="G534">
        <v>4</v>
      </c>
      <c r="H534" t="str" cm="1">
        <f t="array" ref="H534">_xlfn.XLOOKUP(TRIM(C534),_xlfn.ANCHORARRAY($L$5),$M$5:$M$18)</f>
        <v>LEGUMEX</v>
      </c>
      <c r="I534" t="str">
        <v>Tomates pelées</v>
      </c>
      <c r="J534">
        <f t="shared" si="13"/>
        <v>10</v>
      </c>
    </row>
    <row r="535" spans="1:10" x14ac:dyDescent="0.25">
      <c r="A535" t="s">
        <v>724</v>
      </c>
      <c r="B535" t="s">
        <v>720</v>
      </c>
      <c r="C535" t="s">
        <v>19</v>
      </c>
      <c r="D535" t="s">
        <v>24</v>
      </c>
      <c r="E535">
        <v>10</v>
      </c>
      <c r="F535" t="s">
        <v>25</v>
      </c>
      <c r="G535">
        <v>21.84</v>
      </c>
      <c r="H535" t="str" cm="1">
        <f t="array" ref="H535">_xlfn.XLOOKUP(TRIM(C535),_xlfn.ANCHORARRAY($L$5),$M$5:$M$18)</f>
        <v>LEGUMEX</v>
      </c>
      <c r="I535" t="str">
        <v>Huile olive</v>
      </c>
      <c r="J535">
        <f t="shared" si="13"/>
        <v>10</v>
      </c>
    </row>
    <row r="536" spans="1:10" x14ac:dyDescent="0.25">
      <c r="A536" t="s">
        <v>725</v>
      </c>
      <c r="B536" t="s">
        <v>720</v>
      </c>
      <c r="C536" t="s">
        <v>19</v>
      </c>
      <c r="D536" t="s">
        <v>28</v>
      </c>
      <c r="E536">
        <v>8</v>
      </c>
      <c r="F536" t="s">
        <v>29</v>
      </c>
      <c r="G536">
        <v>9.9499999999999993</v>
      </c>
      <c r="H536" t="str" cm="1">
        <f t="array" ref="H536">_xlfn.XLOOKUP(TRIM(C536),_xlfn.ANCHORARRAY($L$5),$M$5:$M$18)</f>
        <v>LEGUMEX</v>
      </c>
      <c r="I536" t="str">
        <v>Sauce tomate</v>
      </c>
      <c r="J536">
        <f t="shared" si="13"/>
        <v>8</v>
      </c>
    </row>
    <row r="537" spans="1:10" x14ac:dyDescent="0.25">
      <c r="A537" t="s">
        <v>726</v>
      </c>
      <c r="B537" t="s">
        <v>727</v>
      </c>
      <c r="C537" t="s">
        <v>66</v>
      </c>
      <c r="D537" t="s">
        <v>33</v>
      </c>
      <c r="E537">
        <v>10</v>
      </c>
      <c r="F537" t="s">
        <v>17</v>
      </c>
      <c r="G537">
        <v>10.56</v>
      </c>
      <c r="H537" t="str" cm="1">
        <f t="array" ref="H537">_xlfn.XLOOKUP(TRIM(C537),_xlfn.ANCHORARRAY($L$5),$M$5:$M$18)</f>
        <v>B. Halal Pro</v>
      </c>
      <c r="I537" t="str">
        <v>Viande hachée</v>
      </c>
      <c r="J537">
        <f t="shared" si="13"/>
        <v>10</v>
      </c>
    </row>
    <row r="538" spans="1:10" x14ac:dyDescent="0.25">
      <c r="A538" t="s">
        <v>728</v>
      </c>
      <c r="B538" t="s">
        <v>727</v>
      </c>
      <c r="C538" t="s">
        <v>32</v>
      </c>
      <c r="D538" t="s">
        <v>35</v>
      </c>
      <c r="E538">
        <v>12</v>
      </c>
      <c r="F538" t="s">
        <v>17</v>
      </c>
      <c r="G538">
        <v>6.82</v>
      </c>
      <c r="H538" t="str" cm="1">
        <f t="array" ref="H538">_xlfn.XLOOKUP(TRIM(C538),_xlfn.ANCHORARRAY($L$5),$M$5:$M$18)</f>
        <v>B. Halal Pro</v>
      </c>
      <c r="I538" t="str">
        <v>Poulet émincé</v>
      </c>
      <c r="J538">
        <f t="shared" si="13"/>
        <v>12</v>
      </c>
    </row>
    <row r="539" spans="1:10" x14ac:dyDescent="0.25">
      <c r="A539" t="s">
        <v>729</v>
      </c>
      <c r="B539" t="s">
        <v>727</v>
      </c>
      <c r="C539" t="s">
        <v>41</v>
      </c>
      <c r="D539" t="s">
        <v>38</v>
      </c>
      <c r="E539">
        <v>5</v>
      </c>
      <c r="F539" t="s">
        <v>39</v>
      </c>
      <c r="G539">
        <v>5.87</v>
      </c>
      <c r="H539" t="str" cm="1">
        <f t="array" ref="H539">_xlfn.XLOOKUP(TRIM(C539),_xlfn.ANCHORARRAY($L$5),$M$5:$M$18)</f>
        <v>Boul. Express</v>
      </c>
      <c r="I539" t="str">
        <v>Pain burger</v>
      </c>
      <c r="J539">
        <f t="shared" si="13"/>
        <v>5</v>
      </c>
    </row>
    <row r="540" spans="1:10" x14ac:dyDescent="0.25">
      <c r="A540" t="s">
        <v>730</v>
      </c>
      <c r="B540" t="s">
        <v>727</v>
      </c>
      <c r="C540" t="s">
        <v>41</v>
      </c>
      <c r="D540" t="s">
        <v>42</v>
      </c>
      <c r="E540">
        <v>12</v>
      </c>
      <c r="F540" t="s">
        <v>43</v>
      </c>
      <c r="G540">
        <v>4</v>
      </c>
      <c r="H540" t="str" cm="1">
        <f t="array" ref="H540">_xlfn.XLOOKUP(TRIM(C540),_xlfn.ANCHORARRAY($L$5),$M$5:$M$18)</f>
        <v>Boul. Express</v>
      </c>
      <c r="I540" t="str">
        <v>Pain pita</v>
      </c>
      <c r="J540">
        <f t="shared" si="13"/>
        <v>12</v>
      </c>
    </row>
    <row r="541" spans="1:10" x14ac:dyDescent="0.25">
      <c r="A541" t="s">
        <v>731</v>
      </c>
      <c r="B541" t="s">
        <v>732</v>
      </c>
      <c r="C541" t="s">
        <v>19</v>
      </c>
      <c r="D541" t="s">
        <v>20</v>
      </c>
      <c r="F541" t="s">
        <v>21</v>
      </c>
      <c r="G541">
        <v>4.03</v>
      </c>
      <c r="H541" t="str" cm="1">
        <f t="array" ref="H541">_xlfn.XLOOKUP(TRIM(C541),_xlfn.ANCHORARRAY($L$5),$M$5:$M$18)</f>
        <v>LEGUMEX</v>
      </c>
      <c r="I541" t="str">
        <v>Tomates pelées</v>
      </c>
      <c r="J541">
        <f t="shared" si="13"/>
        <v>4</v>
      </c>
    </row>
    <row r="542" spans="1:10" x14ac:dyDescent="0.25">
      <c r="A542" t="s">
        <v>733</v>
      </c>
      <c r="B542" t="s">
        <v>732</v>
      </c>
      <c r="C542" t="s">
        <v>23</v>
      </c>
      <c r="D542" t="s">
        <v>24</v>
      </c>
      <c r="E542">
        <v>10</v>
      </c>
      <c r="F542" t="s">
        <v>25</v>
      </c>
      <c r="G542">
        <v>21.97</v>
      </c>
      <c r="H542" t="str" cm="1">
        <f t="array" ref="H542">_xlfn.XLOOKUP(TRIM(C542),_xlfn.ANCHORARRAY($L$5),$M$5:$M$18)</f>
        <v>LEGUMEX</v>
      </c>
      <c r="I542" t="str">
        <v>Huile olive</v>
      </c>
      <c r="J542">
        <f t="shared" si="13"/>
        <v>10</v>
      </c>
    </row>
    <row r="543" spans="1:10" x14ac:dyDescent="0.25">
      <c r="A543" t="s">
        <v>734</v>
      </c>
      <c r="B543" t="s">
        <v>732</v>
      </c>
      <c r="C543" t="s">
        <v>27</v>
      </c>
      <c r="D543" t="s">
        <v>28</v>
      </c>
      <c r="F543" t="s">
        <v>29</v>
      </c>
      <c r="G543">
        <v>9.32</v>
      </c>
      <c r="H543" t="str" cm="1">
        <f t="array" ref="H543">_xlfn.XLOOKUP(TRIM(C543),_xlfn.ANCHORARRAY($L$5),$M$5:$M$18)</f>
        <v>LEGUMEX</v>
      </c>
      <c r="I543" t="str">
        <v>Sauce tomate</v>
      </c>
      <c r="J543">
        <f t="shared" si="13"/>
        <v>8</v>
      </c>
    </row>
    <row r="544" spans="1:10" x14ac:dyDescent="0.25">
      <c r="A544" t="s">
        <v>735</v>
      </c>
      <c r="B544" t="s">
        <v>732</v>
      </c>
      <c r="C544" t="s">
        <v>242</v>
      </c>
      <c r="D544" t="s">
        <v>51</v>
      </c>
      <c r="F544" t="s">
        <v>52</v>
      </c>
      <c r="G544">
        <v>18.649999999999999</v>
      </c>
      <c r="H544" t="str" cm="1">
        <f t="array" ref="H544">_xlfn.XLOOKUP(TRIM(C544),_xlfn.ANCHORARRAY($L$5),$M$5:$M$18)</f>
        <v>Moulin du Nord</v>
      </c>
      <c r="I544" t="str">
        <v>Farine</v>
      </c>
      <c r="J544">
        <f t="shared" si="13"/>
        <v>2</v>
      </c>
    </row>
    <row r="545" spans="1:10" x14ac:dyDescent="0.25">
      <c r="A545" t="s">
        <v>736</v>
      </c>
      <c r="B545" t="s">
        <v>732</v>
      </c>
      <c r="C545" t="s">
        <v>195</v>
      </c>
      <c r="D545" t="s">
        <v>55</v>
      </c>
      <c r="E545">
        <v>6</v>
      </c>
      <c r="F545" t="s">
        <v>17</v>
      </c>
      <c r="G545">
        <v>9.51</v>
      </c>
      <c r="H545" t="str" cm="1">
        <f t="array" ref="H545">_xlfn.XLOOKUP(TRIM(C545),_xlfn.ANCHORARRAY($L$5),$M$5:$M$18)</f>
        <v>Fromag. Centrale</v>
      </c>
      <c r="I545" t="str">
        <v>Mozzarella</v>
      </c>
      <c r="J545">
        <f t="shared" si="13"/>
        <v>6</v>
      </c>
    </row>
    <row r="546" spans="1:10" x14ac:dyDescent="0.25">
      <c r="A546" t="s">
        <v>737</v>
      </c>
      <c r="B546" t="s">
        <v>738</v>
      </c>
      <c r="C546" t="s">
        <v>9</v>
      </c>
      <c r="D546" t="s">
        <v>10</v>
      </c>
      <c r="E546">
        <v>4</v>
      </c>
      <c r="F546" t="s">
        <v>11</v>
      </c>
      <c r="G546">
        <v>14.28</v>
      </c>
      <c r="H546" t="str" cm="1">
        <f t="array" ref="H546">_xlfn.XLOOKUP(TRIM(C546),_xlfn.ANCHORARRAY($L$5),$M$5:$M$18)</f>
        <v>Metro</v>
      </c>
      <c r="I546" t="str">
        <v>Coca Cola</v>
      </c>
      <c r="J546">
        <f t="shared" si="13"/>
        <v>4</v>
      </c>
    </row>
    <row r="547" spans="1:10" x14ac:dyDescent="0.25">
      <c r="A547" t="s">
        <v>739</v>
      </c>
      <c r="B547" t="s">
        <v>738</v>
      </c>
      <c r="C547" t="s">
        <v>97</v>
      </c>
      <c r="D547" t="s">
        <v>14</v>
      </c>
      <c r="E547">
        <v>5</v>
      </c>
      <c r="F547" t="s">
        <v>11</v>
      </c>
      <c r="G547">
        <v>13.12</v>
      </c>
      <c r="H547" t="str" cm="1">
        <f t="array" ref="H547">_xlfn.XLOOKUP(TRIM(C547),_xlfn.ANCHORARRAY($L$5),$M$5:$M$18)</f>
        <v>Metro</v>
      </c>
      <c r="I547" t="str">
        <v>7up</v>
      </c>
      <c r="J547">
        <f t="shared" si="13"/>
        <v>5</v>
      </c>
    </row>
    <row r="548" spans="1:10" x14ac:dyDescent="0.25">
      <c r="A548" t="s">
        <v>740</v>
      </c>
      <c r="B548" t="s">
        <v>738</v>
      </c>
      <c r="C548" t="s">
        <v>97</v>
      </c>
      <c r="D548" t="s">
        <v>16</v>
      </c>
      <c r="E548">
        <v>6</v>
      </c>
      <c r="F548" t="s">
        <v>17</v>
      </c>
      <c r="G548">
        <v>1.21</v>
      </c>
      <c r="H548" t="str" cm="1">
        <f t="array" ref="H548">_xlfn.XLOOKUP(TRIM(C548),_xlfn.ANCHORARRAY($L$5),$M$5:$M$18)</f>
        <v>Metro</v>
      </c>
      <c r="I548" t="str">
        <v>Sel</v>
      </c>
      <c r="J548">
        <f t="shared" si="13"/>
        <v>6</v>
      </c>
    </row>
    <row r="549" spans="1:10" x14ac:dyDescent="0.25">
      <c r="A549" t="s">
        <v>741</v>
      </c>
      <c r="B549" t="s">
        <v>742</v>
      </c>
      <c r="C549" t="s">
        <v>100</v>
      </c>
      <c r="D549" t="s">
        <v>33</v>
      </c>
      <c r="E549">
        <v>5</v>
      </c>
      <c r="F549" t="s">
        <v>17</v>
      </c>
      <c r="G549">
        <v>9.0399999999999991</v>
      </c>
      <c r="H549" t="str" cm="1">
        <f t="array" ref="H549">_xlfn.XLOOKUP(TRIM(C549),_xlfn.ANCHORARRAY($L$5),$M$5:$M$18)</f>
        <v>B. Halal Pro</v>
      </c>
      <c r="I549" t="str">
        <v>Viande hachée</v>
      </c>
      <c r="J549">
        <f t="shared" si="13"/>
        <v>5</v>
      </c>
    </row>
    <row r="550" spans="1:10" x14ac:dyDescent="0.25">
      <c r="A550" t="s">
        <v>743</v>
      </c>
      <c r="B550" t="s">
        <v>742</v>
      </c>
      <c r="C550" t="s">
        <v>64</v>
      </c>
      <c r="D550" t="s">
        <v>35</v>
      </c>
      <c r="E550">
        <v>10</v>
      </c>
      <c r="F550" t="s">
        <v>17</v>
      </c>
      <c r="G550">
        <v>6.73</v>
      </c>
      <c r="H550" t="str" cm="1">
        <f t="array" ref="H550">_xlfn.XLOOKUP(TRIM(C550),_xlfn.ANCHORARRAY($L$5),$M$5:$M$18)</f>
        <v>B. Halal Pro</v>
      </c>
      <c r="I550" t="str">
        <v>Poulet émincé</v>
      </c>
      <c r="J550">
        <f t="shared" si="13"/>
        <v>10</v>
      </c>
    </row>
    <row r="551" spans="1:10" x14ac:dyDescent="0.25">
      <c r="A551" t="s">
        <v>744</v>
      </c>
      <c r="B551" t="s">
        <v>742</v>
      </c>
      <c r="C551" t="s">
        <v>69</v>
      </c>
      <c r="D551" t="s">
        <v>38</v>
      </c>
      <c r="E551">
        <v>5</v>
      </c>
      <c r="F551" t="s">
        <v>39</v>
      </c>
      <c r="G551">
        <v>5.7</v>
      </c>
      <c r="H551" t="str" cm="1">
        <f t="array" ref="H551">_xlfn.XLOOKUP(TRIM(C551),_xlfn.ANCHORARRAY($L$5),$M$5:$M$18)</f>
        <v>Boul. Express</v>
      </c>
      <c r="I551" t="str">
        <v>Pain burger</v>
      </c>
      <c r="J551">
        <f t="shared" si="13"/>
        <v>5</v>
      </c>
    </row>
    <row r="552" spans="1:10" x14ac:dyDescent="0.25">
      <c r="A552" t="s">
        <v>745</v>
      </c>
      <c r="B552" t="s">
        <v>742</v>
      </c>
      <c r="C552" t="s">
        <v>41</v>
      </c>
      <c r="D552" t="s">
        <v>42</v>
      </c>
      <c r="E552">
        <v>12</v>
      </c>
      <c r="F552" t="s">
        <v>43</v>
      </c>
      <c r="G552">
        <v>3.94</v>
      </c>
      <c r="H552" t="str" cm="1">
        <f t="array" ref="H552">_xlfn.XLOOKUP(TRIM(C552),_xlfn.ANCHORARRAY($L$5),$M$5:$M$18)</f>
        <v>Boul. Express</v>
      </c>
      <c r="I552" t="str">
        <v>Pain pita</v>
      </c>
      <c r="J552">
        <f t="shared" si="13"/>
        <v>12</v>
      </c>
    </row>
    <row r="553" spans="1:10" x14ac:dyDescent="0.25">
      <c r="A553" t="s">
        <v>746</v>
      </c>
      <c r="B553" t="s">
        <v>747</v>
      </c>
      <c r="C553" t="s">
        <v>54</v>
      </c>
      <c r="D553" t="s">
        <v>55</v>
      </c>
      <c r="E553">
        <v>4</v>
      </c>
      <c r="F553" t="s">
        <v>17</v>
      </c>
      <c r="G553">
        <v>9.17</v>
      </c>
      <c r="H553" t="str" cm="1">
        <f t="array" ref="H553">_xlfn.XLOOKUP(TRIM(C553),_xlfn.ANCHORARRAY($L$5),$M$5:$M$18)</f>
        <v>Fromag. Centrale</v>
      </c>
      <c r="I553" t="str">
        <v>Mozzarella</v>
      </c>
      <c r="J553">
        <f t="shared" si="13"/>
        <v>4</v>
      </c>
    </row>
    <row r="554" spans="1:10" x14ac:dyDescent="0.25">
      <c r="A554" t="s">
        <v>748</v>
      </c>
      <c r="B554" t="s">
        <v>749</v>
      </c>
      <c r="C554" t="s">
        <v>9</v>
      </c>
      <c r="D554" t="s">
        <v>10</v>
      </c>
      <c r="E554">
        <v>4</v>
      </c>
      <c r="F554" t="s">
        <v>11</v>
      </c>
      <c r="G554">
        <v>14.24</v>
      </c>
      <c r="H554" t="str" cm="1">
        <f t="array" ref="H554">_xlfn.XLOOKUP(TRIM(C554),_xlfn.ANCHORARRAY($L$5),$M$5:$M$18)</f>
        <v>Metro</v>
      </c>
      <c r="I554" t="str">
        <v>Coca Cola</v>
      </c>
      <c r="J554">
        <f t="shared" si="13"/>
        <v>4</v>
      </c>
    </row>
    <row r="555" spans="1:10" x14ac:dyDescent="0.25">
      <c r="A555" t="s">
        <v>750</v>
      </c>
      <c r="B555" t="s">
        <v>749</v>
      </c>
      <c r="C555" t="s">
        <v>61</v>
      </c>
      <c r="D555" t="s">
        <v>14</v>
      </c>
      <c r="E555">
        <v>6</v>
      </c>
      <c r="F555" t="s">
        <v>11</v>
      </c>
      <c r="G555">
        <v>13.13</v>
      </c>
      <c r="H555" t="str" cm="1">
        <f t="array" ref="H555">_xlfn.XLOOKUP(TRIM(C555),_xlfn.ANCHORARRAY($L$5),$M$5:$M$18)</f>
        <v>Metro</v>
      </c>
      <c r="I555" t="str">
        <v>7up</v>
      </c>
      <c r="J555">
        <f t="shared" si="13"/>
        <v>6</v>
      </c>
    </row>
    <row r="556" spans="1:10" x14ac:dyDescent="0.25">
      <c r="A556" t="s">
        <v>751</v>
      </c>
      <c r="B556" t="s">
        <v>749</v>
      </c>
      <c r="C556" t="s">
        <v>97</v>
      </c>
      <c r="D556" t="s">
        <v>16</v>
      </c>
      <c r="E556">
        <v>3</v>
      </c>
      <c r="F556" t="s">
        <v>17</v>
      </c>
      <c r="G556">
        <v>1.18</v>
      </c>
      <c r="H556" t="str" cm="1">
        <f t="array" ref="H556">_xlfn.XLOOKUP(TRIM(C556),_xlfn.ANCHORARRAY($L$5),$M$5:$M$18)</f>
        <v>Metro</v>
      </c>
      <c r="I556" t="str">
        <v>Sel</v>
      </c>
      <c r="J556">
        <f t="shared" si="13"/>
        <v>3</v>
      </c>
    </row>
    <row r="557" spans="1:10" x14ac:dyDescent="0.25">
      <c r="A557" t="s">
        <v>752</v>
      </c>
      <c r="B557" t="s">
        <v>749</v>
      </c>
      <c r="C557" t="s">
        <v>27</v>
      </c>
      <c r="D557" t="s">
        <v>20</v>
      </c>
      <c r="E557">
        <v>6</v>
      </c>
      <c r="F557" t="s">
        <v>21</v>
      </c>
      <c r="G557">
        <v>4.51</v>
      </c>
      <c r="H557" t="str" cm="1">
        <f t="array" ref="H557">_xlfn.XLOOKUP(TRIM(C557),_xlfn.ANCHORARRAY($L$5),$M$5:$M$18)</f>
        <v>LEGUMEX</v>
      </c>
      <c r="I557" t="str">
        <v>Tomates pelées</v>
      </c>
      <c r="J557">
        <f t="shared" si="13"/>
        <v>6</v>
      </c>
    </row>
    <row r="558" spans="1:10" x14ac:dyDescent="0.25">
      <c r="A558" t="s">
        <v>753</v>
      </c>
      <c r="B558" t="s">
        <v>749</v>
      </c>
      <c r="C558" t="s">
        <v>23</v>
      </c>
      <c r="D558" t="s">
        <v>24</v>
      </c>
      <c r="E558">
        <v>8</v>
      </c>
      <c r="F558" t="s">
        <v>25</v>
      </c>
      <c r="G558">
        <v>23.56</v>
      </c>
      <c r="H558" t="str" cm="1">
        <f t="array" ref="H558">_xlfn.XLOOKUP(TRIM(C558),_xlfn.ANCHORARRAY($L$5),$M$5:$M$18)</f>
        <v>LEGUMEX</v>
      </c>
      <c r="I558" t="str">
        <v>Huile olive</v>
      </c>
      <c r="J558">
        <f t="shared" si="13"/>
        <v>8</v>
      </c>
    </row>
    <row r="559" spans="1:10" x14ac:dyDescent="0.25">
      <c r="A559" t="s">
        <v>754</v>
      </c>
      <c r="B559" t="s">
        <v>749</v>
      </c>
      <c r="C559" t="s">
        <v>19</v>
      </c>
      <c r="D559" t="s">
        <v>28</v>
      </c>
      <c r="E559">
        <v>10</v>
      </c>
      <c r="F559" t="s">
        <v>29</v>
      </c>
      <c r="G559">
        <v>10.029999999999999</v>
      </c>
      <c r="H559" t="str" cm="1">
        <f t="array" ref="H559">_xlfn.XLOOKUP(TRIM(C559),_xlfn.ANCHORARRAY($L$5),$M$5:$M$18)</f>
        <v>LEGUMEX</v>
      </c>
      <c r="I559" t="str">
        <v>Sauce tomate</v>
      </c>
      <c r="J559">
        <f t="shared" si="13"/>
        <v>10</v>
      </c>
    </row>
    <row r="560" spans="1:10" x14ac:dyDescent="0.25">
      <c r="A560" t="s">
        <v>755</v>
      </c>
      <c r="B560" t="s">
        <v>756</v>
      </c>
      <c r="C560" t="s">
        <v>32</v>
      </c>
      <c r="D560" t="s">
        <v>33</v>
      </c>
      <c r="E560">
        <v>6</v>
      </c>
      <c r="F560" t="s">
        <v>17</v>
      </c>
      <c r="G560">
        <v>9.24</v>
      </c>
      <c r="H560" t="str" cm="1">
        <f t="array" ref="H560">_xlfn.XLOOKUP(TRIM(C560),_xlfn.ANCHORARRAY($L$5),$M$5:$M$18)</f>
        <v>B. Halal Pro</v>
      </c>
      <c r="I560" t="str">
        <v>Viande hachée</v>
      </c>
      <c r="J560">
        <f t="shared" si="13"/>
        <v>6</v>
      </c>
    </row>
    <row r="561" spans="1:10" x14ac:dyDescent="0.25">
      <c r="A561" t="s">
        <v>757</v>
      </c>
      <c r="B561" t="s">
        <v>756</v>
      </c>
      <c r="C561" t="s">
        <v>64</v>
      </c>
      <c r="D561" t="s">
        <v>35</v>
      </c>
      <c r="E561">
        <v>8</v>
      </c>
      <c r="F561" t="s">
        <v>17</v>
      </c>
      <c r="G561">
        <v>7.2</v>
      </c>
      <c r="H561" t="str" cm="1">
        <f t="array" ref="H561">_xlfn.XLOOKUP(TRIM(C561),_xlfn.ANCHORARRAY($L$5),$M$5:$M$18)</f>
        <v>B. Halal Pro</v>
      </c>
      <c r="I561" t="str">
        <v>Poulet émincé</v>
      </c>
      <c r="J561">
        <f t="shared" si="13"/>
        <v>8</v>
      </c>
    </row>
    <row r="562" spans="1:10" x14ac:dyDescent="0.25">
      <c r="A562" t="s">
        <v>758</v>
      </c>
      <c r="B562" t="s">
        <v>756</v>
      </c>
      <c r="C562" t="s">
        <v>69</v>
      </c>
      <c r="D562" t="s">
        <v>38</v>
      </c>
      <c r="E562">
        <v>5</v>
      </c>
      <c r="F562" t="s">
        <v>39</v>
      </c>
      <c r="G562">
        <v>5.76</v>
      </c>
      <c r="H562" t="str" cm="1">
        <f t="array" ref="H562">_xlfn.XLOOKUP(TRIM(C562),_xlfn.ANCHORARRAY($L$5),$M$5:$M$18)</f>
        <v>Boul. Express</v>
      </c>
      <c r="I562" t="str">
        <v>Pain burger</v>
      </c>
      <c r="J562">
        <f t="shared" si="13"/>
        <v>5</v>
      </c>
    </row>
    <row r="563" spans="1:10" x14ac:dyDescent="0.25">
      <c r="A563" t="s">
        <v>759</v>
      </c>
      <c r="B563" t="s">
        <v>756</v>
      </c>
      <c r="C563" t="s">
        <v>69</v>
      </c>
      <c r="D563" t="s">
        <v>42</v>
      </c>
      <c r="E563">
        <v>10</v>
      </c>
      <c r="F563" t="s">
        <v>43</v>
      </c>
      <c r="G563">
        <v>4.05</v>
      </c>
      <c r="H563" t="str" cm="1">
        <f t="array" ref="H563">_xlfn.XLOOKUP(TRIM(C563),_xlfn.ANCHORARRAY($L$5),$M$5:$M$18)</f>
        <v>Boul. Express</v>
      </c>
      <c r="I563" t="str">
        <v>Pain pita</v>
      </c>
      <c r="J563">
        <f t="shared" si="13"/>
        <v>10</v>
      </c>
    </row>
    <row r="564" spans="1:10" x14ac:dyDescent="0.25">
      <c r="A564" t="s">
        <v>760</v>
      </c>
      <c r="B564" t="s">
        <v>761</v>
      </c>
      <c r="C564" t="s">
        <v>46</v>
      </c>
      <c r="D564" t="s">
        <v>20</v>
      </c>
      <c r="E564">
        <v>10</v>
      </c>
      <c r="F564" t="s">
        <v>21</v>
      </c>
      <c r="G564">
        <v>4.42</v>
      </c>
      <c r="H564" t="str" cm="1">
        <f t="array" ref="H564">_xlfn.XLOOKUP(TRIM(C564),_xlfn.ANCHORARRAY($L$5),$M$5:$M$18)</f>
        <v>LEGUMEX</v>
      </c>
      <c r="I564" t="str">
        <v>Tomates pelées</v>
      </c>
      <c r="J564">
        <f t="shared" si="13"/>
        <v>10</v>
      </c>
    </row>
    <row r="565" spans="1:10" x14ac:dyDescent="0.25">
      <c r="A565" t="s">
        <v>762</v>
      </c>
      <c r="B565" t="s">
        <v>761</v>
      </c>
      <c r="C565" t="s">
        <v>46</v>
      </c>
      <c r="D565" t="s">
        <v>24</v>
      </c>
      <c r="E565">
        <v>10</v>
      </c>
      <c r="F565" t="s">
        <v>25</v>
      </c>
      <c r="G565">
        <v>22.48</v>
      </c>
      <c r="H565" t="str" cm="1">
        <f t="array" ref="H565">_xlfn.XLOOKUP(TRIM(C565),_xlfn.ANCHORARRAY($L$5),$M$5:$M$18)</f>
        <v>LEGUMEX</v>
      </c>
      <c r="I565" t="str">
        <v>Huile olive</v>
      </c>
      <c r="J565">
        <f t="shared" si="13"/>
        <v>10</v>
      </c>
    </row>
    <row r="566" spans="1:10" x14ac:dyDescent="0.25">
      <c r="A566" t="s">
        <v>763</v>
      </c>
      <c r="B566" t="s">
        <v>761</v>
      </c>
      <c r="C566" t="s">
        <v>23</v>
      </c>
      <c r="D566" t="s">
        <v>28</v>
      </c>
      <c r="E566">
        <v>8</v>
      </c>
      <c r="F566" t="s">
        <v>29</v>
      </c>
      <c r="G566">
        <v>9.42</v>
      </c>
      <c r="H566" t="str" cm="1">
        <f t="array" ref="H566">_xlfn.XLOOKUP(TRIM(C566),_xlfn.ANCHORARRAY($L$5),$M$5:$M$18)</f>
        <v>LEGUMEX</v>
      </c>
      <c r="I566" t="str">
        <v>Sauce tomate</v>
      </c>
      <c r="J566">
        <f t="shared" si="13"/>
        <v>8</v>
      </c>
    </row>
    <row r="567" spans="1:10" x14ac:dyDescent="0.25">
      <c r="A567" t="s">
        <v>764</v>
      </c>
      <c r="B567" t="s">
        <v>761</v>
      </c>
      <c r="C567" t="s">
        <v>90</v>
      </c>
      <c r="D567" t="s">
        <v>51</v>
      </c>
      <c r="E567">
        <v>2</v>
      </c>
      <c r="F567" t="s">
        <v>52</v>
      </c>
      <c r="G567">
        <v>17.899999999999999</v>
      </c>
      <c r="H567" t="str" cm="1">
        <f t="array" ref="H567">_xlfn.XLOOKUP(TRIM(C567),_xlfn.ANCHORARRAY($L$5),$M$5:$M$18)</f>
        <v>Moulin du Nord</v>
      </c>
      <c r="I567" t="str">
        <v>Farine</v>
      </c>
      <c r="J567">
        <f t="shared" si="13"/>
        <v>2</v>
      </c>
    </row>
    <row r="568" spans="1:10" x14ac:dyDescent="0.25">
      <c r="A568" t="s">
        <v>765</v>
      </c>
      <c r="B568" t="s">
        <v>761</v>
      </c>
      <c r="C568" t="s">
        <v>92</v>
      </c>
      <c r="D568" t="s">
        <v>55</v>
      </c>
      <c r="E568">
        <v>8</v>
      </c>
      <c r="F568" t="s">
        <v>17</v>
      </c>
      <c r="G568">
        <v>9.42</v>
      </c>
      <c r="H568" t="str" cm="1">
        <f t="array" ref="H568">_xlfn.XLOOKUP(TRIM(C568),_xlfn.ANCHORARRAY($L$5),$M$5:$M$18)</f>
        <v>Fromag. Centrale</v>
      </c>
      <c r="I568" t="str">
        <v>Mozzarella</v>
      </c>
      <c r="J568">
        <f t="shared" si="13"/>
        <v>8</v>
      </c>
    </row>
    <row r="569" spans="1:10" x14ac:dyDescent="0.25">
      <c r="A569" t="s">
        <v>766</v>
      </c>
      <c r="B569" t="s">
        <v>767</v>
      </c>
      <c r="C569" t="s">
        <v>9</v>
      </c>
      <c r="D569" t="s">
        <v>10</v>
      </c>
      <c r="E569">
        <v>3</v>
      </c>
      <c r="F569" t="s">
        <v>11</v>
      </c>
      <c r="G569">
        <v>15.19</v>
      </c>
      <c r="H569" t="str" cm="1">
        <f t="array" ref="H569">_xlfn.XLOOKUP(TRIM(C569),_xlfn.ANCHORARRAY($L$5),$M$5:$M$18)</f>
        <v>Metro</v>
      </c>
      <c r="I569" t="str">
        <v>Coca Cola</v>
      </c>
      <c r="J569">
        <f t="shared" si="13"/>
        <v>3</v>
      </c>
    </row>
    <row r="570" spans="1:10" x14ac:dyDescent="0.25">
      <c r="A570" t="s">
        <v>768</v>
      </c>
      <c r="B570" t="s">
        <v>767</v>
      </c>
      <c r="C570" t="s">
        <v>97</v>
      </c>
      <c r="D570" t="s">
        <v>14</v>
      </c>
      <c r="E570">
        <v>3</v>
      </c>
      <c r="F570" t="s">
        <v>11</v>
      </c>
      <c r="G570">
        <v>12.96</v>
      </c>
      <c r="H570" t="str" cm="1">
        <f t="array" ref="H570">_xlfn.XLOOKUP(TRIM(C570),_xlfn.ANCHORARRAY($L$5),$M$5:$M$18)</f>
        <v>Metro</v>
      </c>
      <c r="I570" t="str">
        <v>7up</v>
      </c>
      <c r="J570">
        <f t="shared" si="13"/>
        <v>3</v>
      </c>
    </row>
    <row r="571" spans="1:10" x14ac:dyDescent="0.25">
      <c r="A571" t="s">
        <v>769</v>
      </c>
      <c r="B571" t="s">
        <v>767</v>
      </c>
      <c r="C571" t="s">
        <v>59</v>
      </c>
      <c r="D571" t="s">
        <v>16</v>
      </c>
      <c r="E571">
        <v>6</v>
      </c>
      <c r="F571" t="s">
        <v>17</v>
      </c>
      <c r="G571">
        <v>1.18</v>
      </c>
      <c r="H571" t="str" cm="1">
        <f t="array" ref="H571">_xlfn.XLOOKUP(TRIM(C571),_xlfn.ANCHORARRAY($L$5),$M$5:$M$18)</f>
        <v>Metro</v>
      </c>
      <c r="I571" t="str">
        <v>Sel</v>
      </c>
      <c r="J571">
        <f t="shared" si="13"/>
        <v>6</v>
      </c>
    </row>
    <row r="572" spans="1:10" x14ac:dyDescent="0.25">
      <c r="A572" t="s">
        <v>770</v>
      </c>
      <c r="B572" t="s">
        <v>771</v>
      </c>
      <c r="C572" t="s">
        <v>64</v>
      </c>
      <c r="D572" t="s">
        <v>33</v>
      </c>
      <c r="E572">
        <v>8</v>
      </c>
      <c r="F572" t="s">
        <v>17</v>
      </c>
      <c r="G572">
        <v>9.7200000000000006</v>
      </c>
      <c r="H572" t="str" cm="1">
        <f t="array" ref="H572">_xlfn.XLOOKUP(TRIM(C572),_xlfn.ANCHORARRAY($L$5),$M$5:$M$18)</f>
        <v>B. Halal Pro</v>
      </c>
      <c r="I572" t="str">
        <v>Viande hachée</v>
      </c>
      <c r="J572">
        <f t="shared" si="13"/>
        <v>8</v>
      </c>
    </row>
    <row r="573" spans="1:10" x14ac:dyDescent="0.25">
      <c r="A573" t="s">
        <v>772</v>
      </c>
      <c r="B573" t="s">
        <v>771</v>
      </c>
      <c r="C573" t="s">
        <v>64</v>
      </c>
      <c r="D573" t="s">
        <v>35</v>
      </c>
      <c r="E573">
        <v>10</v>
      </c>
      <c r="F573" t="s">
        <v>17</v>
      </c>
      <c r="G573">
        <v>6.96</v>
      </c>
      <c r="H573" t="str" cm="1">
        <f t="array" ref="H573">_xlfn.XLOOKUP(TRIM(C573),_xlfn.ANCHORARRAY($L$5),$M$5:$M$18)</f>
        <v>B. Halal Pro</v>
      </c>
      <c r="I573" t="str">
        <v>Poulet émincé</v>
      </c>
      <c r="J573">
        <f t="shared" si="13"/>
        <v>10</v>
      </c>
    </row>
    <row r="574" spans="1:10" x14ac:dyDescent="0.25">
      <c r="A574" t="s">
        <v>773</v>
      </c>
      <c r="B574" t="s">
        <v>771</v>
      </c>
      <c r="C574" t="s">
        <v>83</v>
      </c>
      <c r="D574" t="s">
        <v>38</v>
      </c>
      <c r="E574">
        <v>8</v>
      </c>
      <c r="F574" t="s">
        <v>39</v>
      </c>
      <c r="G574">
        <v>5.88</v>
      </c>
      <c r="H574" t="str" cm="1">
        <f t="array" ref="H574">_xlfn.XLOOKUP(TRIM(C574),_xlfn.ANCHORARRAY($L$5),$M$5:$M$18)</f>
        <v>Boul. Express</v>
      </c>
      <c r="I574" t="str">
        <v>Pain burger</v>
      </c>
      <c r="J574">
        <f t="shared" si="13"/>
        <v>8</v>
      </c>
    </row>
    <row r="575" spans="1:10" x14ac:dyDescent="0.25">
      <c r="A575" t="s">
        <v>774</v>
      </c>
      <c r="B575" t="s">
        <v>771</v>
      </c>
      <c r="C575" t="s">
        <v>83</v>
      </c>
      <c r="D575" t="s">
        <v>42</v>
      </c>
      <c r="E575">
        <v>10</v>
      </c>
      <c r="F575" t="s">
        <v>43</v>
      </c>
      <c r="G575">
        <v>3.85</v>
      </c>
      <c r="H575" t="str" cm="1">
        <f t="array" ref="H575">_xlfn.XLOOKUP(TRIM(C575),_xlfn.ANCHORARRAY($L$5),$M$5:$M$18)</f>
        <v>Boul. Express</v>
      </c>
      <c r="I575" t="str">
        <v>Pain pita</v>
      </c>
      <c r="J575">
        <f t="shared" si="13"/>
        <v>10</v>
      </c>
    </row>
    <row r="576" spans="1:10" x14ac:dyDescent="0.25">
      <c r="A576" t="s">
        <v>775</v>
      </c>
      <c r="B576" t="s">
        <v>776</v>
      </c>
      <c r="C576" t="s">
        <v>92</v>
      </c>
      <c r="D576" t="s">
        <v>55</v>
      </c>
      <c r="E576">
        <v>10</v>
      </c>
      <c r="F576" t="s">
        <v>17</v>
      </c>
      <c r="G576">
        <v>8.4600000000000009</v>
      </c>
      <c r="H576" t="str" cm="1">
        <f t="array" ref="H576">_xlfn.XLOOKUP(TRIM(C576),_xlfn.ANCHORARRAY($L$5),$M$5:$M$18)</f>
        <v>Fromag. Centrale</v>
      </c>
      <c r="I576" t="str">
        <v>Mozzarella</v>
      </c>
      <c r="J576">
        <f t="shared" si="13"/>
        <v>10</v>
      </c>
    </row>
    <row r="577" spans="1:10" x14ac:dyDescent="0.25">
      <c r="A577" t="s">
        <v>777</v>
      </c>
      <c r="B577" t="s">
        <v>778</v>
      </c>
      <c r="C577" t="s">
        <v>97</v>
      </c>
      <c r="D577" t="s">
        <v>10</v>
      </c>
      <c r="E577">
        <v>6</v>
      </c>
      <c r="F577" t="s">
        <v>11</v>
      </c>
      <c r="G577">
        <v>14.98</v>
      </c>
      <c r="H577" t="str" cm="1">
        <f t="array" ref="H577">_xlfn.XLOOKUP(TRIM(C577),_xlfn.ANCHORARRAY($L$5),$M$5:$M$18)</f>
        <v>Metro</v>
      </c>
      <c r="I577" t="str">
        <v>Coca Cola</v>
      </c>
      <c r="J577">
        <f t="shared" si="13"/>
        <v>6</v>
      </c>
    </row>
    <row r="578" spans="1:10" x14ac:dyDescent="0.25">
      <c r="A578" t="s">
        <v>779</v>
      </c>
      <c r="B578" t="s">
        <v>778</v>
      </c>
      <c r="C578" t="s">
        <v>13</v>
      </c>
      <c r="D578" t="s">
        <v>14</v>
      </c>
      <c r="E578">
        <v>6</v>
      </c>
      <c r="F578" t="s">
        <v>11</v>
      </c>
      <c r="G578">
        <v>13.51</v>
      </c>
      <c r="H578" t="str" cm="1">
        <f t="array" ref="H578">_xlfn.XLOOKUP(TRIM(C578),_xlfn.ANCHORARRAY($L$5),$M$5:$M$18)</f>
        <v>Metro</v>
      </c>
      <c r="I578" t="str">
        <v>7up</v>
      </c>
      <c r="J578">
        <f t="shared" ref="J578:J641" si="14">IF(E578&lt;&gt;0,E578,_xlfn.XLOOKUP(I578,$Q$5:$Q$16,$Y$5:$Y$16))</f>
        <v>6</v>
      </c>
    </row>
    <row r="579" spans="1:10" x14ac:dyDescent="0.25">
      <c r="A579" t="s">
        <v>780</v>
      </c>
      <c r="B579" t="s">
        <v>778</v>
      </c>
      <c r="C579" t="s">
        <v>9</v>
      </c>
      <c r="D579" t="s">
        <v>16</v>
      </c>
      <c r="E579">
        <v>4</v>
      </c>
      <c r="F579" t="s">
        <v>17</v>
      </c>
      <c r="G579">
        <v>1.2</v>
      </c>
      <c r="H579" t="str" cm="1">
        <f t="array" ref="H579">_xlfn.XLOOKUP(TRIM(C579),_xlfn.ANCHORARRAY($L$5),$M$5:$M$18)</f>
        <v>Metro</v>
      </c>
      <c r="I579" t="str">
        <v>Sel</v>
      </c>
      <c r="J579">
        <f t="shared" si="14"/>
        <v>4</v>
      </c>
    </row>
    <row r="580" spans="1:10" x14ac:dyDescent="0.25">
      <c r="A580" t="s">
        <v>781</v>
      </c>
      <c r="B580" t="s">
        <v>778</v>
      </c>
      <c r="C580" t="s">
        <v>46</v>
      </c>
      <c r="D580" t="s">
        <v>20</v>
      </c>
      <c r="E580">
        <v>10</v>
      </c>
      <c r="F580" t="s">
        <v>21</v>
      </c>
      <c r="G580">
        <v>4.45</v>
      </c>
      <c r="H580" t="str" cm="1">
        <f t="array" ref="H580">_xlfn.XLOOKUP(TRIM(C580),_xlfn.ANCHORARRAY($L$5),$M$5:$M$18)</f>
        <v>LEGUMEX</v>
      </c>
      <c r="I580" t="str">
        <v>Tomates pelées</v>
      </c>
      <c r="J580">
        <f t="shared" si="14"/>
        <v>10</v>
      </c>
    </row>
    <row r="581" spans="1:10" x14ac:dyDescent="0.25">
      <c r="A581" t="s">
        <v>782</v>
      </c>
      <c r="B581" t="s">
        <v>778</v>
      </c>
      <c r="C581" t="s">
        <v>46</v>
      </c>
      <c r="D581" t="s">
        <v>24</v>
      </c>
      <c r="E581">
        <v>10</v>
      </c>
      <c r="F581" t="s">
        <v>25</v>
      </c>
      <c r="G581">
        <v>22.16</v>
      </c>
      <c r="H581" t="str" cm="1">
        <f t="array" ref="H581">_xlfn.XLOOKUP(TRIM(C581),_xlfn.ANCHORARRAY($L$5),$M$5:$M$18)</f>
        <v>LEGUMEX</v>
      </c>
      <c r="I581" t="str">
        <v>Huile olive</v>
      </c>
      <c r="J581">
        <f t="shared" si="14"/>
        <v>10</v>
      </c>
    </row>
    <row r="582" spans="1:10" x14ac:dyDescent="0.25">
      <c r="A582" t="s">
        <v>783</v>
      </c>
      <c r="B582" t="s">
        <v>778</v>
      </c>
      <c r="C582" t="s">
        <v>19</v>
      </c>
      <c r="D582" t="s">
        <v>28</v>
      </c>
      <c r="E582">
        <v>6</v>
      </c>
      <c r="F582" t="s">
        <v>29</v>
      </c>
      <c r="G582">
        <v>9.69</v>
      </c>
      <c r="H582" t="str" cm="1">
        <f t="array" ref="H582">_xlfn.XLOOKUP(TRIM(C582),_xlfn.ANCHORARRAY($L$5),$M$5:$M$18)</f>
        <v>LEGUMEX</v>
      </c>
      <c r="I582" t="str">
        <v>Sauce tomate</v>
      </c>
      <c r="J582">
        <f t="shared" si="14"/>
        <v>6</v>
      </c>
    </row>
    <row r="583" spans="1:10" x14ac:dyDescent="0.25">
      <c r="A583" t="s">
        <v>784</v>
      </c>
      <c r="B583" t="s">
        <v>785</v>
      </c>
      <c r="C583" t="s">
        <v>100</v>
      </c>
      <c r="D583" t="s">
        <v>33</v>
      </c>
      <c r="E583">
        <v>8</v>
      </c>
      <c r="F583" t="s">
        <v>17</v>
      </c>
      <c r="G583">
        <v>10.56</v>
      </c>
      <c r="H583" t="str" cm="1">
        <f t="array" ref="H583">_xlfn.XLOOKUP(TRIM(C583),_xlfn.ANCHORARRAY($L$5),$M$5:$M$18)</f>
        <v>B. Halal Pro</v>
      </c>
      <c r="I583" t="str">
        <v>Viande hachée</v>
      </c>
      <c r="J583">
        <f t="shared" si="14"/>
        <v>8</v>
      </c>
    </row>
    <row r="584" spans="1:10" x14ac:dyDescent="0.25">
      <c r="A584" t="s">
        <v>786</v>
      </c>
      <c r="B584" t="s">
        <v>785</v>
      </c>
      <c r="C584" t="s">
        <v>66</v>
      </c>
      <c r="D584" t="s">
        <v>35</v>
      </c>
      <c r="E584">
        <v>6</v>
      </c>
      <c r="F584" t="s">
        <v>17</v>
      </c>
      <c r="G584">
        <v>7.74</v>
      </c>
      <c r="H584" t="str" cm="1">
        <f t="array" ref="H584">_xlfn.XLOOKUP(TRIM(C584),_xlfn.ANCHORARRAY($L$5),$M$5:$M$18)</f>
        <v>B. Halal Pro</v>
      </c>
      <c r="I584" t="str">
        <v>Poulet émincé</v>
      </c>
      <c r="J584">
        <f t="shared" si="14"/>
        <v>6</v>
      </c>
    </row>
    <row r="585" spans="1:10" x14ac:dyDescent="0.25">
      <c r="A585" t="s">
        <v>787</v>
      </c>
      <c r="B585" t="s">
        <v>785</v>
      </c>
      <c r="C585" t="s">
        <v>37</v>
      </c>
      <c r="D585" t="s">
        <v>38</v>
      </c>
      <c r="E585">
        <v>12</v>
      </c>
      <c r="F585" t="s">
        <v>39</v>
      </c>
      <c r="G585">
        <v>5.97</v>
      </c>
      <c r="H585" t="str" cm="1">
        <f t="array" ref="H585">_xlfn.XLOOKUP(TRIM(C585),_xlfn.ANCHORARRAY($L$5),$M$5:$M$18)</f>
        <v>Boul. Express</v>
      </c>
      <c r="I585" t="str">
        <v>Pain burger</v>
      </c>
      <c r="J585">
        <f t="shared" si="14"/>
        <v>12</v>
      </c>
    </row>
    <row r="586" spans="1:10" x14ac:dyDescent="0.25">
      <c r="A586" t="s">
        <v>788</v>
      </c>
      <c r="B586" t="s">
        <v>785</v>
      </c>
      <c r="C586" t="s">
        <v>83</v>
      </c>
      <c r="D586" t="s">
        <v>42</v>
      </c>
      <c r="E586">
        <v>8</v>
      </c>
      <c r="F586" t="s">
        <v>43</v>
      </c>
      <c r="G586">
        <v>3.96</v>
      </c>
      <c r="H586" t="str" cm="1">
        <f t="array" ref="H586">_xlfn.XLOOKUP(TRIM(C586),_xlfn.ANCHORARRAY($L$5),$M$5:$M$18)</f>
        <v>Boul. Express</v>
      </c>
      <c r="I586" t="str">
        <v>Pain pita</v>
      </c>
      <c r="J586">
        <f t="shared" si="14"/>
        <v>8</v>
      </c>
    </row>
    <row r="587" spans="1:10" x14ac:dyDescent="0.25">
      <c r="A587" t="s">
        <v>789</v>
      </c>
      <c r="B587" t="s">
        <v>790</v>
      </c>
      <c r="C587" t="s">
        <v>27</v>
      </c>
      <c r="D587" t="s">
        <v>20</v>
      </c>
      <c r="E587">
        <v>10</v>
      </c>
      <c r="F587" t="s">
        <v>21</v>
      </c>
      <c r="G587">
        <v>4.51</v>
      </c>
      <c r="H587" t="str" cm="1">
        <f t="array" ref="H587">_xlfn.XLOOKUP(TRIM(C587),_xlfn.ANCHORARRAY($L$5),$M$5:$M$18)</f>
        <v>LEGUMEX</v>
      </c>
      <c r="I587" t="str">
        <v>Tomates pelées</v>
      </c>
      <c r="J587">
        <f t="shared" si="14"/>
        <v>10</v>
      </c>
    </row>
    <row r="588" spans="1:10" x14ac:dyDescent="0.25">
      <c r="A588" t="s">
        <v>791</v>
      </c>
      <c r="B588" t="s">
        <v>790</v>
      </c>
      <c r="C588" t="s">
        <v>19</v>
      </c>
      <c r="D588" t="s">
        <v>24</v>
      </c>
      <c r="E588">
        <v>8</v>
      </c>
      <c r="F588" t="s">
        <v>25</v>
      </c>
      <c r="G588">
        <v>22.15</v>
      </c>
      <c r="H588" t="str" cm="1">
        <f t="array" ref="H588">_xlfn.XLOOKUP(TRIM(C588),_xlfn.ANCHORARRAY($L$5),$M$5:$M$18)</f>
        <v>LEGUMEX</v>
      </c>
      <c r="I588" t="str">
        <v>Huile olive</v>
      </c>
      <c r="J588">
        <f t="shared" si="14"/>
        <v>8</v>
      </c>
    </row>
    <row r="589" spans="1:10" x14ac:dyDescent="0.25">
      <c r="A589" t="s">
        <v>792</v>
      </c>
      <c r="B589" t="s">
        <v>790</v>
      </c>
      <c r="C589" t="s">
        <v>27</v>
      </c>
      <c r="D589" t="s">
        <v>28</v>
      </c>
      <c r="E589">
        <v>10</v>
      </c>
      <c r="F589" t="s">
        <v>29</v>
      </c>
      <c r="G589">
        <v>10.35</v>
      </c>
      <c r="H589" t="str" cm="1">
        <f t="array" ref="H589">_xlfn.XLOOKUP(TRIM(C589),_xlfn.ANCHORARRAY($L$5),$M$5:$M$18)</f>
        <v>LEGUMEX</v>
      </c>
      <c r="I589" t="str">
        <v>Sauce tomate</v>
      </c>
      <c r="J589">
        <f t="shared" si="14"/>
        <v>10</v>
      </c>
    </row>
    <row r="590" spans="1:10" x14ac:dyDescent="0.25">
      <c r="A590" t="s">
        <v>793</v>
      </c>
      <c r="B590" t="s">
        <v>790</v>
      </c>
      <c r="C590" t="s">
        <v>152</v>
      </c>
      <c r="D590" t="s">
        <v>51</v>
      </c>
      <c r="E590">
        <v>2</v>
      </c>
      <c r="F590" t="s">
        <v>52</v>
      </c>
      <c r="G590">
        <v>18.809999999999999</v>
      </c>
      <c r="H590" t="str" cm="1">
        <f t="array" ref="H590">_xlfn.XLOOKUP(TRIM(C590),_xlfn.ANCHORARRAY($L$5),$M$5:$M$18)</f>
        <v>Moulin du Nord</v>
      </c>
      <c r="I590" t="str">
        <v>Farine</v>
      </c>
      <c r="J590">
        <f t="shared" si="14"/>
        <v>2</v>
      </c>
    </row>
    <row r="591" spans="1:10" x14ac:dyDescent="0.25">
      <c r="A591" t="s">
        <v>794</v>
      </c>
      <c r="B591" t="s">
        <v>790</v>
      </c>
      <c r="C591" t="s">
        <v>92</v>
      </c>
      <c r="D591" t="s">
        <v>55</v>
      </c>
      <c r="E591">
        <v>10</v>
      </c>
      <c r="F591" t="s">
        <v>17</v>
      </c>
      <c r="G591">
        <v>9.3800000000000008</v>
      </c>
      <c r="H591" t="str" cm="1">
        <f t="array" ref="H591">_xlfn.XLOOKUP(TRIM(C591),_xlfn.ANCHORARRAY($L$5),$M$5:$M$18)</f>
        <v>Fromag. Centrale</v>
      </c>
      <c r="I591" t="str">
        <v>Mozzarella</v>
      </c>
      <c r="J591">
        <f t="shared" si="14"/>
        <v>10</v>
      </c>
    </row>
    <row r="592" spans="1:10" x14ac:dyDescent="0.25">
      <c r="A592" t="s">
        <v>795</v>
      </c>
      <c r="B592" t="s">
        <v>796</v>
      </c>
      <c r="C592" t="s">
        <v>61</v>
      </c>
      <c r="D592" t="s">
        <v>10</v>
      </c>
      <c r="E592">
        <v>6</v>
      </c>
      <c r="F592" t="s">
        <v>11</v>
      </c>
      <c r="G592">
        <v>14.72</v>
      </c>
      <c r="H592" t="str" cm="1">
        <f t="array" ref="H592">_xlfn.XLOOKUP(TRIM(C592),_xlfn.ANCHORARRAY($L$5),$M$5:$M$18)</f>
        <v>Metro</v>
      </c>
      <c r="I592" t="str">
        <v>Coca Cola</v>
      </c>
      <c r="J592">
        <f t="shared" si="14"/>
        <v>6</v>
      </c>
    </row>
    <row r="593" spans="1:10" x14ac:dyDescent="0.25">
      <c r="A593" t="s">
        <v>797</v>
      </c>
      <c r="B593" t="s">
        <v>796</v>
      </c>
      <c r="C593" t="s">
        <v>59</v>
      </c>
      <c r="D593" t="s">
        <v>14</v>
      </c>
      <c r="E593">
        <v>3</v>
      </c>
      <c r="F593" t="s">
        <v>11</v>
      </c>
      <c r="G593">
        <v>13.74</v>
      </c>
      <c r="H593" t="str" cm="1">
        <f t="array" ref="H593">_xlfn.XLOOKUP(TRIM(C593),_xlfn.ANCHORARRAY($L$5),$M$5:$M$18)</f>
        <v>Metro</v>
      </c>
      <c r="I593" t="str">
        <v>7up</v>
      </c>
      <c r="J593">
        <f t="shared" si="14"/>
        <v>3</v>
      </c>
    </row>
    <row r="594" spans="1:10" x14ac:dyDescent="0.25">
      <c r="A594" t="s">
        <v>798</v>
      </c>
      <c r="B594" t="s">
        <v>796</v>
      </c>
      <c r="C594" t="s">
        <v>61</v>
      </c>
      <c r="D594" t="s">
        <v>16</v>
      </c>
      <c r="E594">
        <v>3</v>
      </c>
      <c r="F594" t="s">
        <v>17</v>
      </c>
      <c r="G594">
        <v>1.18</v>
      </c>
      <c r="H594" t="str" cm="1">
        <f t="array" ref="H594">_xlfn.XLOOKUP(TRIM(C594),_xlfn.ANCHORARRAY($L$5),$M$5:$M$18)</f>
        <v>Metro</v>
      </c>
      <c r="I594" t="str">
        <v>Sel</v>
      </c>
      <c r="J594">
        <f t="shared" si="14"/>
        <v>3</v>
      </c>
    </row>
    <row r="595" spans="1:10" x14ac:dyDescent="0.25">
      <c r="A595" t="s">
        <v>799</v>
      </c>
      <c r="B595" t="s">
        <v>800</v>
      </c>
      <c r="C595" t="s">
        <v>32</v>
      </c>
      <c r="D595" t="s">
        <v>33</v>
      </c>
      <c r="E595">
        <v>12</v>
      </c>
      <c r="F595" t="s">
        <v>17</v>
      </c>
      <c r="G595">
        <v>8.74</v>
      </c>
      <c r="H595" t="str" cm="1">
        <f t="array" ref="H595">_xlfn.XLOOKUP(TRIM(C595),_xlfn.ANCHORARRAY($L$5),$M$5:$M$18)</f>
        <v>B. Halal Pro</v>
      </c>
      <c r="I595" t="str">
        <v>Viande hachée</v>
      </c>
      <c r="J595">
        <f t="shared" si="14"/>
        <v>12</v>
      </c>
    </row>
    <row r="596" spans="1:10" x14ac:dyDescent="0.25">
      <c r="A596" t="s">
        <v>801</v>
      </c>
      <c r="B596" t="s">
        <v>800</v>
      </c>
      <c r="C596" t="s">
        <v>66</v>
      </c>
      <c r="D596" t="s">
        <v>35</v>
      </c>
      <c r="E596">
        <v>8</v>
      </c>
      <c r="F596" t="s">
        <v>17</v>
      </c>
      <c r="G596">
        <v>7.74</v>
      </c>
      <c r="H596" t="str" cm="1">
        <f t="array" ref="H596">_xlfn.XLOOKUP(TRIM(C596),_xlfn.ANCHORARRAY($L$5),$M$5:$M$18)</f>
        <v>B. Halal Pro</v>
      </c>
      <c r="I596" t="str">
        <v>Poulet émincé</v>
      </c>
      <c r="J596">
        <f t="shared" si="14"/>
        <v>8</v>
      </c>
    </row>
    <row r="597" spans="1:10" x14ac:dyDescent="0.25">
      <c r="A597" t="s">
        <v>802</v>
      </c>
      <c r="B597" t="s">
        <v>800</v>
      </c>
      <c r="C597" t="s">
        <v>69</v>
      </c>
      <c r="D597" t="s">
        <v>38</v>
      </c>
      <c r="E597">
        <v>5</v>
      </c>
      <c r="F597" t="s">
        <v>39</v>
      </c>
      <c r="G597">
        <v>5.72</v>
      </c>
      <c r="H597" t="str" cm="1">
        <f t="array" ref="H597">_xlfn.XLOOKUP(TRIM(C597),_xlfn.ANCHORARRAY($L$5),$M$5:$M$18)</f>
        <v>Boul. Express</v>
      </c>
      <c r="I597" t="str">
        <v>Pain burger</v>
      </c>
      <c r="J597">
        <f t="shared" si="14"/>
        <v>5</v>
      </c>
    </row>
    <row r="598" spans="1:10" x14ac:dyDescent="0.25">
      <c r="A598" t="s">
        <v>803</v>
      </c>
      <c r="B598" t="s">
        <v>800</v>
      </c>
      <c r="C598" t="s">
        <v>83</v>
      </c>
      <c r="D598" t="s">
        <v>42</v>
      </c>
      <c r="E598">
        <v>12</v>
      </c>
      <c r="F598" t="s">
        <v>43</v>
      </c>
      <c r="G598">
        <v>3.93</v>
      </c>
      <c r="H598" t="str" cm="1">
        <f t="array" ref="H598">_xlfn.XLOOKUP(TRIM(C598),_xlfn.ANCHORARRAY($L$5),$M$5:$M$18)</f>
        <v>Boul. Express</v>
      </c>
      <c r="I598" t="str">
        <v>Pain pita</v>
      </c>
      <c r="J598">
        <f t="shared" si="14"/>
        <v>12</v>
      </c>
    </row>
    <row r="599" spans="1:10" x14ac:dyDescent="0.25">
      <c r="A599" t="s">
        <v>804</v>
      </c>
      <c r="B599" t="s">
        <v>805</v>
      </c>
      <c r="C599" t="s">
        <v>92</v>
      </c>
      <c r="D599" t="s">
        <v>55</v>
      </c>
      <c r="E599">
        <v>4</v>
      </c>
      <c r="F599" t="s">
        <v>17</v>
      </c>
      <c r="G599">
        <v>8.86</v>
      </c>
      <c r="H599" t="str" cm="1">
        <f t="array" ref="H599">_xlfn.XLOOKUP(TRIM(C599),_xlfn.ANCHORARRAY($L$5),$M$5:$M$18)</f>
        <v>Fromag. Centrale</v>
      </c>
      <c r="I599" t="str">
        <v>Mozzarella</v>
      </c>
      <c r="J599">
        <f t="shared" si="14"/>
        <v>4</v>
      </c>
    </row>
    <row r="600" spans="1:10" x14ac:dyDescent="0.25">
      <c r="A600" t="s">
        <v>806</v>
      </c>
      <c r="B600" t="s">
        <v>807</v>
      </c>
      <c r="C600" t="s">
        <v>97</v>
      </c>
      <c r="D600" t="s">
        <v>10</v>
      </c>
      <c r="E600">
        <v>6</v>
      </c>
      <c r="F600" t="s">
        <v>11</v>
      </c>
      <c r="G600">
        <v>15.16</v>
      </c>
      <c r="H600" t="str" cm="1">
        <f t="array" ref="H600">_xlfn.XLOOKUP(TRIM(C600),_xlfn.ANCHORARRAY($L$5),$M$5:$M$18)</f>
        <v>Metro</v>
      </c>
      <c r="I600" t="str">
        <v>Coca Cola</v>
      </c>
      <c r="J600">
        <f t="shared" si="14"/>
        <v>6</v>
      </c>
    </row>
    <row r="601" spans="1:10" x14ac:dyDescent="0.25">
      <c r="A601" t="s">
        <v>808</v>
      </c>
      <c r="B601" t="s">
        <v>807</v>
      </c>
      <c r="C601" t="s">
        <v>13</v>
      </c>
      <c r="D601" t="s">
        <v>14</v>
      </c>
      <c r="E601">
        <v>5</v>
      </c>
      <c r="F601" t="s">
        <v>11</v>
      </c>
      <c r="G601">
        <v>13.17</v>
      </c>
      <c r="H601" t="str" cm="1">
        <f t="array" ref="H601">_xlfn.XLOOKUP(TRIM(C601),_xlfn.ANCHORARRAY($L$5),$M$5:$M$18)</f>
        <v>Metro</v>
      </c>
      <c r="I601" t="str">
        <v>7up</v>
      </c>
      <c r="J601">
        <f t="shared" si="14"/>
        <v>5</v>
      </c>
    </row>
    <row r="602" spans="1:10" x14ac:dyDescent="0.25">
      <c r="A602" t="s">
        <v>809</v>
      </c>
      <c r="B602" t="s">
        <v>807</v>
      </c>
      <c r="C602" t="s">
        <v>13</v>
      </c>
      <c r="D602" t="s">
        <v>16</v>
      </c>
      <c r="E602">
        <v>6</v>
      </c>
      <c r="F602" t="s">
        <v>17</v>
      </c>
      <c r="G602">
        <v>1.2</v>
      </c>
      <c r="H602" t="str" cm="1">
        <f t="array" ref="H602">_xlfn.XLOOKUP(TRIM(C602),_xlfn.ANCHORARRAY($L$5),$M$5:$M$18)</f>
        <v>Metro</v>
      </c>
      <c r="I602" t="str">
        <v>Sel</v>
      </c>
      <c r="J602">
        <f t="shared" si="14"/>
        <v>6</v>
      </c>
    </row>
    <row r="603" spans="1:10" x14ac:dyDescent="0.25">
      <c r="A603" t="s">
        <v>810</v>
      </c>
      <c r="B603" t="s">
        <v>807</v>
      </c>
      <c r="C603" t="s">
        <v>23</v>
      </c>
      <c r="D603" t="s">
        <v>20</v>
      </c>
      <c r="E603">
        <v>8</v>
      </c>
      <c r="F603" t="s">
        <v>21</v>
      </c>
      <c r="G603">
        <v>4.16</v>
      </c>
      <c r="H603" t="str" cm="1">
        <f t="array" ref="H603">_xlfn.XLOOKUP(TRIM(C603),_xlfn.ANCHORARRAY($L$5),$M$5:$M$18)</f>
        <v>LEGUMEX</v>
      </c>
      <c r="I603" t="str">
        <v>Tomates pelées</v>
      </c>
      <c r="J603">
        <f t="shared" si="14"/>
        <v>8</v>
      </c>
    </row>
    <row r="604" spans="1:10" x14ac:dyDescent="0.25">
      <c r="A604" t="s">
        <v>811</v>
      </c>
      <c r="B604" t="s">
        <v>807</v>
      </c>
      <c r="C604" t="s">
        <v>27</v>
      </c>
      <c r="D604" t="s">
        <v>24</v>
      </c>
      <c r="E604">
        <v>8</v>
      </c>
      <c r="F604" t="s">
        <v>25</v>
      </c>
      <c r="G604">
        <v>20.96</v>
      </c>
      <c r="H604" t="str" cm="1">
        <f t="array" ref="H604">_xlfn.XLOOKUP(TRIM(C604),_xlfn.ANCHORARRAY($L$5),$M$5:$M$18)</f>
        <v>LEGUMEX</v>
      </c>
      <c r="I604" t="str">
        <v>Huile olive</v>
      </c>
      <c r="J604">
        <f t="shared" si="14"/>
        <v>8</v>
      </c>
    </row>
    <row r="605" spans="1:10" x14ac:dyDescent="0.25">
      <c r="A605" t="s">
        <v>812</v>
      </c>
      <c r="B605" t="s">
        <v>807</v>
      </c>
      <c r="C605" t="s">
        <v>19</v>
      </c>
      <c r="D605" t="s">
        <v>28</v>
      </c>
      <c r="E605">
        <v>6</v>
      </c>
      <c r="F605" t="s">
        <v>29</v>
      </c>
      <c r="G605">
        <v>10.49</v>
      </c>
      <c r="H605" t="str" cm="1">
        <f t="array" ref="H605">_xlfn.XLOOKUP(TRIM(C605),_xlfn.ANCHORARRAY($L$5),$M$5:$M$18)</f>
        <v>LEGUMEX</v>
      </c>
      <c r="I605" t="str">
        <v>Sauce tomate</v>
      </c>
      <c r="J605">
        <f t="shared" si="14"/>
        <v>6</v>
      </c>
    </row>
    <row r="606" spans="1:10" x14ac:dyDescent="0.25">
      <c r="A606" t="s">
        <v>813</v>
      </c>
      <c r="B606" t="s">
        <v>814</v>
      </c>
      <c r="C606" t="s">
        <v>100</v>
      </c>
      <c r="D606" t="s">
        <v>33</v>
      </c>
      <c r="E606">
        <v>10</v>
      </c>
      <c r="F606" t="s">
        <v>17</v>
      </c>
      <c r="G606">
        <v>9.11</v>
      </c>
      <c r="H606" t="str" cm="1">
        <f t="array" ref="H606">_xlfn.XLOOKUP(TRIM(C606),_xlfn.ANCHORARRAY($L$5),$M$5:$M$18)</f>
        <v>B. Halal Pro</v>
      </c>
      <c r="I606" t="str">
        <v>Viande hachée</v>
      </c>
      <c r="J606">
        <f t="shared" si="14"/>
        <v>10</v>
      </c>
    </row>
    <row r="607" spans="1:10" x14ac:dyDescent="0.25">
      <c r="A607" t="s">
        <v>815</v>
      </c>
      <c r="B607" t="s">
        <v>814</v>
      </c>
      <c r="C607" t="s">
        <v>100</v>
      </c>
      <c r="D607" t="s">
        <v>35</v>
      </c>
      <c r="E607">
        <v>6</v>
      </c>
      <c r="F607" t="s">
        <v>17</v>
      </c>
      <c r="G607">
        <v>7.54</v>
      </c>
      <c r="H607" t="str" cm="1">
        <f t="array" ref="H607">_xlfn.XLOOKUP(TRIM(C607),_xlfn.ANCHORARRAY($L$5),$M$5:$M$18)</f>
        <v>B. Halal Pro</v>
      </c>
      <c r="I607" t="str">
        <v>Poulet émincé</v>
      </c>
      <c r="J607">
        <f t="shared" si="14"/>
        <v>6</v>
      </c>
    </row>
    <row r="608" spans="1:10" x14ac:dyDescent="0.25">
      <c r="A608" t="s">
        <v>816</v>
      </c>
      <c r="B608" t="s">
        <v>814</v>
      </c>
      <c r="C608" t="s">
        <v>69</v>
      </c>
      <c r="D608" t="s">
        <v>38</v>
      </c>
      <c r="E608">
        <v>8</v>
      </c>
      <c r="F608" t="s">
        <v>39</v>
      </c>
      <c r="G608">
        <v>5.82</v>
      </c>
      <c r="H608" t="str" cm="1">
        <f t="array" ref="H608">_xlfn.XLOOKUP(TRIM(C608),_xlfn.ANCHORARRAY($L$5),$M$5:$M$18)</f>
        <v>Boul. Express</v>
      </c>
      <c r="I608" t="str">
        <v>Pain burger</v>
      </c>
      <c r="J608">
        <f t="shared" si="14"/>
        <v>8</v>
      </c>
    </row>
    <row r="609" spans="1:10" x14ac:dyDescent="0.25">
      <c r="A609" t="s">
        <v>817</v>
      </c>
      <c r="B609" t="s">
        <v>814</v>
      </c>
      <c r="C609" t="s">
        <v>69</v>
      </c>
      <c r="D609" t="s">
        <v>42</v>
      </c>
      <c r="E609">
        <v>8</v>
      </c>
      <c r="F609" t="s">
        <v>43</v>
      </c>
      <c r="G609">
        <v>3.91</v>
      </c>
      <c r="H609" t="str" cm="1">
        <f t="array" ref="H609">_xlfn.XLOOKUP(TRIM(C609),_xlfn.ANCHORARRAY($L$5),$M$5:$M$18)</f>
        <v>Boul. Express</v>
      </c>
      <c r="I609" t="str">
        <v>Pain pita</v>
      </c>
      <c r="J609">
        <f t="shared" si="14"/>
        <v>8</v>
      </c>
    </row>
    <row r="610" spans="1:10" x14ac:dyDescent="0.25">
      <c r="A610" t="s">
        <v>818</v>
      </c>
      <c r="B610" t="s">
        <v>819</v>
      </c>
      <c r="C610" t="s">
        <v>27</v>
      </c>
      <c r="D610" t="s">
        <v>20</v>
      </c>
      <c r="E610">
        <v>6</v>
      </c>
      <c r="F610" t="s">
        <v>21</v>
      </c>
      <c r="G610">
        <v>4.3099999999999996</v>
      </c>
      <c r="H610" t="str" cm="1">
        <f t="array" ref="H610">_xlfn.XLOOKUP(TRIM(C610),_xlfn.ANCHORARRAY($L$5),$M$5:$M$18)</f>
        <v>LEGUMEX</v>
      </c>
      <c r="I610" t="str">
        <v>Tomates pelées</v>
      </c>
      <c r="J610">
        <f t="shared" si="14"/>
        <v>6</v>
      </c>
    </row>
    <row r="611" spans="1:10" x14ac:dyDescent="0.25">
      <c r="A611" t="s">
        <v>820</v>
      </c>
      <c r="B611" t="s">
        <v>819</v>
      </c>
      <c r="C611" t="s">
        <v>19</v>
      </c>
      <c r="D611" t="s">
        <v>24</v>
      </c>
      <c r="E611">
        <v>8</v>
      </c>
      <c r="F611" t="s">
        <v>25</v>
      </c>
      <c r="G611">
        <v>22.21</v>
      </c>
      <c r="H611" t="str" cm="1">
        <f t="array" ref="H611">_xlfn.XLOOKUP(TRIM(C611),_xlfn.ANCHORARRAY($L$5),$M$5:$M$18)</f>
        <v>LEGUMEX</v>
      </c>
      <c r="I611" t="str">
        <v>Huile olive</v>
      </c>
      <c r="J611">
        <f t="shared" si="14"/>
        <v>8</v>
      </c>
    </row>
    <row r="612" spans="1:10" x14ac:dyDescent="0.25">
      <c r="A612" t="s">
        <v>821</v>
      </c>
      <c r="B612" t="s">
        <v>819</v>
      </c>
      <c r="C612" t="s">
        <v>23</v>
      </c>
      <c r="D612" t="s">
        <v>28</v>
      </c>
      <c r="E612">
        <v>8</v>
      </c>
      <c r="F612" t="s">
        <v>29</v>
      </c>
      <c r="G612">
        <v>9.98</v>
      </c>
      <c r="H612" t="str" cm="1">
        <f t="array" ref="H612">_xlfn.XLOOKUP(TRIM(C612),_xlfn.ANCHORARRAY($L$5),$M$5:$M$18)</f>
        <v>LEGUMEX</v>
      </c>
      <c r="I612" t="str">
        <v>Sauce tomate</v>
      </c>
      <c r="J612">
        <f t="shared" si="14"/>
        <v>8</v>
      </c>
    </row>
    <row r="613" spans="1:10" x14ac:dyDescent="0.25">
      <c r="A613" t="s">
        <v>822</v>
      </c>
      <c r="B613" t="s">
        <v>819</v>
      </c>
      <c r="C613" t="s">
        <v>50</v>
      </c>
      <c r="D613" t="s">
        <v>51</v>
      </c>
      <c r="E613">
        <v>3</v>
      </c>
      <c r="F613" t="s">
        <v>52</v>
      </c>
      <c r="G613">
        <v>18.739999999999998</v>
      </c>
      <c r="H613" t="str" cm="1">
        <f t="array" ref="H613">_xlfn.XLOOKUP(TRIM(C613),_xlfn.ANCHORARRAY($L$5),$M$5:$M$18)</f>
        <v>Moulin du Nord</v>
      </c>
      <c r="I613" t="str">
        <v>Farine</v>
      </c>
      <c r="J613">
        <f t="shared" si="14"/>
        <v>3</v>
      </c>
    </row>
    <row r="614" spans="1:10" x14ac:dyDescent="0.25">
      <c r="A614" t="s">
        <v>823</v>
      </c>
      <c r="B614" t="s">
        <v>819</v>
      </c>
      <c r="C614" t="s">
        <v>195</v>
      </c>
      <c r="D614" t="s">
        <v>55</v>
      </c>
      <c r="E614">
        <v>8</v>
      </c>
      <c r="F614" t="s">
        <v>17</v>
      </c>
      <c r="G614">
        <v>9.25</v>
      </c>
      <c r="H614" t="str" cm="1">
        <f t="array" ref="H614">_xlfn.XLOOKUP(TRIM(C614),_xlfn.ANCHORARRAY($L$5),$M$5:$M$18)</f>
        <v>Fromag. Centrale</v>
      </c>
      <c r="I614" t="str">
        <v>Mozzarella</v>
      </c>
      <c r="J614">
        <f t="shared" si="14"/>
        <v>8</v>
      </c>
    </row>
    <row r="615" spans="1:10" x14ac:dyDescent="0.25">
      <c r="A615" t="s">
        <v>824</v>
      </c>
      <c r="B615" t="s">
        <v>825</v>
      </c>
      <c r="C615" t="s">
        <v>61</v>
      </c>
      <c r="D615" t="s">
        <v>10</v>
      </c>
      <c r="E615">
        <v>3</v>
      </c>
      <c r="F615" t="s">
        <v>11</v>
      </c>
      <c r="G615">
        <v>14.84</v>
      </c>
      <c r="H615" t="str" cm="1">
        <f t="array" ref="H615">_xlfn.XLOOKUP(TRIM(C615),_xlfn.ANCHORARRAY($L$5),$M$5:$M$18)</f>
        <v>Metro</v>
      </c>
      <c r="I615" t="str">
        <v>Coca Cola</v>
      </c>
      <c r="J615">
        <f t="shared" si="14"/>
        <v>3</v>
      </c>
    </row>
    <row r="616" spans="1:10" x14ac:dyDescent="0.25">
      <c r="A616" t="s">
        <v>826</v>
      </c>
      <c r="B616" t="s">
        <v>825</v>
      </c>
      <c r="C616" t="s">
        <v>13</v>
      </c>
      <c r="D616" t="s">
        <v>14</v>
      </c>
      <c r="E616">
        <v>5</v>
      </c>
      <c r="F616" t="s">
        <v>11</v>
      </c>
      <c r="G616">
        <v>12.94</v>
      </c>
      <c r="H616" t="str" cm="1">
        <f t="array" ref="H616">_xlfn.XLOOKUP(TRIM(C616),_xlfn.ANCHORARRAY($L$5),$M$5:$M$18)</f>
        <v>Metro</v>
      </c>
      <c r="I616" t="str">
        <v>7up</v>
      </c>
      <c r="J616">
        <f t="shared" si="14"/>
        <v>5</v>
      </c>
    </row>
    <row r="617" spans="1:10" x14ac:dyDescent="0.25">
      <c r="A617" t="s">
        <v>827</v>
      </c>
      <c r="B617" t="s">
        <v>825</v>
      </c>
      <c r="C617" t="s">
        <v>13</v>
      </c>
      <c r="D617" t="s">
        <v>16</v>
      </c>
      <c r="E617">
        <v>6</v>
      </c>
      <c r="F617" t="s">
        <v>17</v>
      </c>
      <c r="G617">
        <v>1.21</v>
      </c>
      <c r="H617" t="str" cm="1">
        <f t="array" ref="H617">_xlfn.XLOOKUP(TRIM(C617),_xlfn.ANCHORARRAY($L$5),$M$5:$M$18)</f>
        <v>Metro</v>
      </c>
      <c r="I617" t="str">
        <v>Sel</v>
      </c>
      <c r="J617">
        <f t="shared" si="14"/>
        <v>6</v>
      </c>
    </row>
    <row r="618" spans="1:10" x14ac:dyDescent="0.25">
      <c r="A618" t="s">
        <v>828</v>
      </c>
      <c r="B618" t="s">
        <v>829</v>
      </c>
      <c r="C618" t="s">
        <v>66</v>
      </c>
      <c r="D618" t="s">
        <v>33</v>
      </c>
      <c r="E618">
        <v>10</v>
      </c>
      <c r="F618" t="s">
        <v>17</v>
      </c>
      <c r="G618">
        <v>9.32</v>
      </c>
      <c r="H618" t="str" cm="1">
        <f t="array" ref="H618">_xlfn.XLOOKUP(TRIM(C618),_xlfn.ANCHORARRAY($L$5),$M$5:$M$18)</f>
        <v>B. Halal Pro</v>
      </c>
      <c r="I618" t="str">
        <v>Viande hachée</v>
      </c>
      <c r="J618">
        <f t="shared" si="14"/>
        <v>10</v>
      </c>
    </row>
    <row r="619" spans="1:10" x14ac:dyDescent="0.25">
      <c r="A619" t="s">
        <v>830</v>
      </c>
      <c r="B619" t="s">
        <v>829</v>
      </c>
      <c r="C619" t="s">
        <v>100</v>
      </c>
      <c r="D619" t="s">
        <v>35</v>
      </c>
      <c r="E619">
        <v>10</v>
      </c>
      <c r="F619" t="s">
        <v>17</v>
      </c>
      <c r="G619">
        <v>7.26</v>
      </c>
      <c r="H619" t="str" cm="1">
        <f t="array" ref="H619">_xlfn.XLOOKUP(TRIM(C619),_xlfn.ANCHORARRAY($L$5),$M$5:$M$18)</f>
        <v>B. Halal Pro</v>
      </c>
      <c r="I619" t="str">
        <v>Poulet émincé</v>
      </c>
      <c r="J619">
        <f t="shared" si="14"/>
        <v>10</v>
      </c>
    </row>
    <row r="620" spans="1:10" x14ac:dyDescent="0.25">
      <c r="A620" t="s">
        <v>831</v>
      </c>
      <c r="B620" t="s">
        <v>829</v>
      </c>
      <c r="C620" t="s">
        <v>83</v>
      </c>
      <c r="D620" t="s">
        <v>38</v>
      </c>
      <c r="E620">
        <v>12</v>
      </c>
      <c r="F620" t="s">
        <v>39</v>
      </c>
      <c r="G620">
        <v>5.79</v>
      </c>
      <c r="H620" t="str" cm="1">
        <f t="array" ref="H620">_xlfn.XLOOKUP(TRIM(C620),_xlfn.ANCHORARRAY($L$5),$M$5:$M$18)</f>
        <v>Boul. Express</v>
      </c>
      <c r="I620" t="str">
        <v>Pain burger</v>
      </c>
      <c r="J620">
        <f t="shared" si="14"/>
        <v>12</v>
      </c>
    </row>
    <row r="621" spans="1:10" x14ac:dyDescent="0.25">
      <c r="A621" t="s">
        <v>832</v>
      </c>
      <c r="B621" t="s">
        <v>829</v>
      </c>
      <c r="C621" t="s">
        <v>37</v>
      </c>
      <c r="D621" t="s">
        <v>42</v>
      </c>
      <c r="E621">
        <v>12</v>
      </c>
      <c r="F621" t="s">
        <v>43</v>
      </c>
      <c r="G621">
        <v>4.04</v>
      </c>
      <c r="H621" t="str" cm="1">
        <f t="array" ref="H621">_xlfn.XLOOKUP(TRIM(C621),_xlfn.ANCHORARRAY($L$5),$M$5:$M$18)</f>
        <v>Boul. Express</v>
      </c>
      <c r="I621" t="str">
        <v>Pain pita</v>
      </c>
      <c r="J621">
        <f t="shared" si="14"/>
        <v>12</v>
      </c>
    </row>
    <row r="622" spans="1:10" x14ac:dyDescent="0.25">
      <c r="A622" t="s">
        <v>833</v>
      </c>
      <c r="B622" t="s">
        <v>834</v>
      </c>
      <c r="C622" t="s">
        <v>195</v>
      </c>
      <c r="D622" t="s">
        <v>55</v>
      </c>
      <c r="E622">
        <v>10</v>
      </c>
      <c r="F622" t="s">
        <v>17</v>
      </c>
      <c r="G622">
        <v>9.74</v>
      </c>
      <c r="H622" t="str" cm="1">
        <f t="array" ref="H622">_xlfn.XLOOKUP(TRIM(C622),_xlfn.ANCHORARRAY($L$5),$M$5:$M$18)</f>
        <v>Fromag. Centrale</v>
      </c>
      <c r="I622" t="str">
        <v>Mozzarella</v>
      </c>
      <c r="J622">
        <f t="shared" si="14"/>
        <v>10</v>
      </c>
    </row>
    <row r="623" spans="1:10" x14ac:dyDescent="0.25">
      <c r="A623" t="s">
        <v>835</v>
      </c>
      <c r="B623" t="s">
        <v>836</v>
      </c>
      <c r="C623" t="s">
        <v>59</v>
      </c>
      <c r="D623" t="s">
        <v>10</v>
      </c>
      <c r="E623">
        <v>6</v>
      </c>
      <c r="F623" t="s">
        <v>11</v>
      </c>
      <c r="G623">
        <v>14.89</v>
      </c>
      <c r="H623" t="str" cm="1">
        <f t="array" ref="H623">_xlfn.XLOOKUP(TRIM(C623),_xlfn.ANCHORARRAY($L$5),$M$5:$M$18)</f>
        <v>Metro</v>
      </c>
      <c r="I623" t="str">
        <v>Coca Cola</v>
      </c>
      <c r="J623">
        <f t="shared" si="14"/>
        <v>6</v>
      </c>
    </row>
    <row r="624" spans="1:10" x14ac:dyDescent="0.25">
      <c r="A624" t="s">
        <v>837</v>
      </c>
      <c r="B624" t="s">
        <v>836</v>
      </c>
      <c r="C624" t="s">
        <v>13</v>
      </c>
      <c r="D624" t="s">
        <v>14</v>
      </c>
      <c r="E624">
        <v>3</v>
      </c>
      <c r="F624" t="s">
        <v>11</v>
      </c>
      <c r="G624">
        <v>13.48</v>
      </c>
      <c r="H624" t="str" cm="1">
        <f t="array" ref="H624">_xlfn.XLOOKUP(TRIM(C624),_xlfn.ANCHORARRAY($L$5),$M$5:$M$18)</f>
        <v>Metro</v>
      </c>
      <c r="I624" t="str">
        <v>7up</v>
      </c>
      <c r="J624">
        <f t="shared" si="14"/>
        <v>3</v>
      </c>
    </row>
    <row r="625" spans="1:10" x14ac:dyDescent="0.25">
      <c r="A625" t="s">
        <v>838</v>
      </c>
      <c r="B625" t="s">
        <v>836</v>
      </c>
      <c r="C625" t="s">
        <v>13</v>
      </c>
      <c r="D625" t="s">
        <v>16</v>
      </c>
      <c r="E625">
        <v>5</v>
      </c>
      <c r="F625" t="s">
        <v>17</v>
      </c>
      <c r="G625">
        <v>1.17</v>
      </c>
      <c r="H625" t="str" cm="1">
        <f t="array" ref="H625">_xlfn.XLOOKUP(TRIM(C625),_xlfn.ANCHORARRAY($L$5),$M$5:$M$18)</f>
        <v>Metro</v>
      </c>
      <c r="I625" t="str">
        <v>Sel</v>
      </c>
      <c r="J625">
        <f t="shared" si="14"/>
        <v>5</v>
      </c>
    </row>
    <row r="626" spans="1:10" x14ac:dyDescent="0.25">
      <c r="A626" t="s">
        <v>839</v>
      </c>
      <c r="B626" t="s">
        <v>836</v>
      </c>
      <c r="C626" t="s">
        <v>46</v>
      </c>
      <c r="D626" t="s">
        <v>20</v>
      </c>
      <c r="E626">
        <v>10</v>
      </c>
      <c r="F626" t="s">
        <v>21</v>
      </c>
      <c r="G626">
        <v>4.08</v>
      </c>
      <c r="H626" t="str" cm="1">
        <f t="array" ref="H626">_xlfn.XLOOKUP(TRIM(C626),_xlfn.ANCHORARRAY($L$5),$M$5:$M$18)</f>
        <v>LEGUMEX</v>
      </c>
      <c r="I626" t="str">
        <v>Tomates pelées</v>
      </c>
      <c r="J626">
        <f t="shared" si="14"/>
        <v>10</v>
      </c>
    </row>
    <row r="627" spans="1:10" x14ac:dyDescent="0.25">
      <c r="A627" t="s">
        <v>840</v>
      </c>
      <c r="B627" t="s">
        <v>836</v>
      </c>
      <c r="C627" t="s">
        <v>23</v>
      </c>
      <c r="D627" t="s">
        <v>24</v>
      </c>
      <c r="E627">
        <v>4</v>
      </c>
      <c r="F627" t="s">
        <v>25</v>
      </c>
      <c r="G627">
        <v>22.47</v>
      </c>
      <c r="H627" t="str" cm="1">
        <f t="array" ref="H627">_xlfn.XLOOKUP(TRIM(C627),_xlfn.ANCHORARRAY($L$5),$M$5:$M$18)</f>
        <v>LEGUMEX</v>
      </c>
      <c r="I627" t="str">
        <v>Huile olive</v>
      </c>
      <c r="J627">
        <f t="shared" si="14"/>
        <v>4</v>
      </c>
    </row>
    <row r="628" spans="1:10" x14ac:dyDescent="0.25">
      <c r="A628" t="s">
        <v>841</v>
      </c>
      <c r="B628" t="s">
        <v>836</v>
      </c>
      <c r="C628" t="s">
        <v>46</v>
      </c>
      <c r="D628" t="s">
        <v>28</v>
      </c>
      <c r="E628">
        <v>8</v>
      </c>
      <c r="F628" t="s">
        <v>29</v>
      </c>
      <c r="G628">
        <v>10.3</v>
      </c>
      <c r="H628" t="str" cm="1">
        <f t="array" ref="H628">_xlfn.XLOOKUP(TRIM(C628),_xlfn.ANCHORARRAY($L$5),$M$5:$M$18)</f>
        <v>LEGUMEX</v>
      </c>
      <c r="I628" t="str">
        <v>Sauce tomate</v>
      </c>
      <c r="J628">
        <f t="shared" si="14"/>
        <v>8</v>
      </c>
    </row>
    <row r="629" spans="1:10" x14ac:dyDescent="0.25">
      <c r="A629" t="s">
        <v>842</v>
      </c>
      <c r="B629" t="s">
        <v>843</v>
      </c>
      <c r="C629" t="s">
        <v>64</v>
      </c>
      <c r="D629" t="s">
        <v>33</v>
      </c>
      <c r="E629">
        <v>10</v>
      </c>
      <c r="F629" t="s">
        <v>17</v>
      </c>
      <c r="G629">
        <v>10.09</v>
      </c>
      <c r="H629" t="str" cm="1">
        <f t="array" ref="H629">_xlfn.XLOOKUP(TRIM(C629),_xlfn.ANCHORARRAY($L$5),$M$5:$M$18)</f>
        <v>B. Halal Pro</v>
      </c>
      <c r="I629" t="str">
        <v>Viande hachée</v>
      </c>
      <c r="J629">
        <f t="shared" si="14"/>
        <v>10</v>
      </c>
    </row>
    <row r="630" spans="1:10" x14ac:dyDescent="0.25">
      <c r="A630" t="s">
        <v>844</v>
      </c>
      <c r="B630" t="s">
        <v>843</v>
      </c>
      <c r="C630" t="s">
        <v>66</v>
      </c>
      <c r="D630" t="s">
        <v>35</v>
      </c>
      <c r="E630">
        <v>6</v>
      </c>
      <c r="F630" t="s">
        <v>17</v>
      </c>
      <c r="G630">
        <v>6.74</v>
      </c>
      <c r="H630" t="str" cm="1">
        <f t="array" ref="H630">_xlfn.XLOOKUP(TRIM(C630),_xlfn.ANCHORARRAY($L$5),$M$5:$M$18)</f>
        <v>B. Halal Pro</v>
      </c>
      <c r="I630" t="str">
        <v>Poulet émincé</v>
      </c>
      <c r="J630">
        <f t="shared" si="14"/>
        <v>6</v>
      </c>
    </row>
    <row r="631" spans="1:10" x14ac:dyDescent="0.25">
      <c r="A631" t="s">
        <v>845</v>
      </c>
      <c r="B631" t="s">
        <v>843</v>
      </c>
      <c r="C631" t="s">
        <v>41</v>
      </c>
      <c r="D631" t="s">
        <v>38</v>
      </c>
      <c r="E631">
        <v>10</v>
      </c>
      <c r="F631" t="s">
        <v>39</v>
      </c>
      <c r="G631">
        <v>5.84</v>
      </c>
      <c r="H631" t="str" cm="1">
        <f t="array" ref="H631">_xlfn.XLOOKUP(TRIM(C631),_xlfn.ANCHORARRAY($L$5),$M$5:$M$18)</f>
        <v>Boul. Express</v>
      </c>
      <c r="I631" t="str">
        <v>Pain burger</v>
      </c>
      <c r="J631">
        <f t="shared" si="14"/>
        <v>10</v>
      </c>
    </row>
    <row r="632" spans="1:10" x14ac:dyDescent="0.25">
      <c r="A632" t="s">
        <v>846</v>
      </c>
      <c r="B632" t="s">
        <v>843</v>
      </c>
      <c r="C632" t="s">
        <v>41</v>
      </c>
      <c r="D632" t="s">
        <v>42</v>
      </c>
      <c r="E632">
        <v>5</v>
      </c>
      <c r="F632" t="s">
        <v>43</v>
      </c>
      <c r="G632">
        <v>3.92</v>
      </c>
      <c r="H632" t="str" cm="1">
        <f t="array" ref="H632">_xlfn.XLOOKUP(TRIM(C632),_xlfn.ANCHORARRAY($L$5),$M$5:$M$18)</f>
        <v>Boul. Express</v>
      </c>
      <c r="I632" t="str">
        <v>Pain pita</v>
      </c>
      <c r="J632">
        <f t="shared" si="14"/>
        <v>5</v>
      </c>
    </row>
    <row r="633" spans="1:10" x14ac:dyDescent="0.25">
      <c r="A633" t="s">
        <v>847</v>
      </c>
      <c r="B633" t="s">
        <v>848</v>
      </c>
      <c r="C633" t="s">
        <v>19</v>
      </c>
      <c r="D633" t="s">
        <v>20</v>
      </c>
      <c r="E633">
        <v>8</v>
      </c>
      <c r="F633" t="s">
        <v>21</v>
      </c>
      <c r="G633">
        <v>4.0999999999999996</v>
      </c>
      <c r="H633" t="str" cm="1">
        <f t="array" ref="H633">_xlfn.XLOOKUP(TRIM(C633),_xlfn.ANCHORARRAY($L$5),$M$5:$M$18)</f>
        <v>LEGUMEX</v>
      </c>
      <c r="I633" t="str">
        <v>Tomates pelées</v>
      </c>
      <c r="J633">
        <f t="shared" si="14"/>
        <v>8</v>
      </c>
    </row>
    <row r="634" spans="1:10" x14ac:dyDescent="0.25">
      <c r="A634" t="s">
        <v>849</v>
      </c>
      <c r="B634" t="s">
        <v>848</v>
      </c>
      <c r="C634" t="s">
        <v>23</v>
      </c>
      <c r="D634" t="s">
        <v>24</v>
      </c>
      <c r="E634">
        <v>6</v>
      </c>
      <c r="F634" t="s">
        <v>25</v>
      </c>
      <c r="G634">
        <v>21.37</v>
      </c>
      <c r="H634" t="str" cm="1">
        <f t="array" ref="H634">_xlfn.XLOOKUP(TRIM(C634),_xlfn.ANCHORARRAY($L$5),$M$5:$M$18)</f>
        <v>LEGUMEX</v>
      </c>
      <c r="I634" t="str">
        <v>Huile olive</v>
      </c>
      <c r="J634">
        <f t="shared" si="14"/>
        <v>6</v>
      </c>
    </row>
    <row r="635" spans="1:10" x14ac:dyDescent="0.25">
      <c r="A635" t="s">
        <v>850</v>
      </c>
      <c r="B635" t="s">
        <v>848</v>
      </c>
      <c r="C635" t="s">
        <v>19</v>
      </c>
      <c r="D635" t="s">
        <v>28</v>
      </c>
      <c r="E635">
        <v>8</v>
      </c>
      <c r="F635" t="s">
        <v>29</v>
      </c>
      <c r="G635">
        <v>10.34</v>
      </c>
      <c r="H635" t="str" cm="1">
        <f t="array" ref="H635">_xlfn.XLOOKUP(TRIM(C635),_xlfn.ANCHORARRAY($L$5),$M$5:$M$18)</f>
        <v>LEGUMEX</v>
      </c>
      <c r="I635" t="str">
        <v>Sauce tomate</v>
      </c>
      <c r="J635">
        <f t="shared" si="14"/>
        <v>8</v>
      </c>
    </row>
    <row r="636" spans="1:10" x14ac:dyDescent="0.25">
      <c r="A636" t="s">
        <v>851</v>
      </c>
      <c r="B636" t="s">
        <v>848</v>
      </c>
      <c r="C636" t="s">
        <v>152</v>
      </c>
      <c r="D636" t="s">
        <v>51</v>
      </c>
      <c r="E636">
        <v>4</v>
      </c>
      <c r="F636" t="s">
        <v>52</v>
      </c>
      <c r="G636">
        <v>18.3</v>
      </c>
      <c r="H636" t="str" cm="1">
        <f t="array" ref="H636">_xlfn.XLOOKUP(TRIM(C636),_xlfn.ANCHORARRAY($L$5),$M$5:$M$18)</f>
        <v>Moulin du Nord</v>
      </c>
      <c r="I636" t="str">
        <v>Farine</v>
      </c>
      <c r="J636">
        <f t="shared" si="14"/>
        <v>4</v>
      </c>
    </row>
    <row r="637" spans="1:10" x14ac:dyDescent="0.25">
      <c r="A637" t="s">
        <v>852</v>
      </c>
      <c r="B637" t="s">
        <v>848</v>
      </c>
      <c r="C637" t="s">
        <v>54</v>
      </c>
      <c r="D637" t="s">
        <v>55</v>
      </c>
      <c r="E637">
        <v>4</v>
      </c>
      <c r="F637" t="s">
        <v>17</v>
      </c>
      <c r="G637">
        <v>9.7200000000000006</v>
      </c>
      <c r="H637" t="str" cm="1">
        <f t="array" ref="H637">_xlfn.XLOOKUP(TRIM(C637),_xlfn.ANCHORARRAY($L$5),$M$5:$M$18)</f>
        <v>Fromag. Centrale</v>
      </c>
      <c r="I637" t="str">
        <v>Mozzarella</v>
      </c>
      <c r="J637">
        <f t="shared" si="14"/>
        <v>4</v>
      </c>
    </row>
    <row r="638" spans="1:10" x14ac:dyDescent="0.25">
      <c r="A638" t="s">
        <v>853</v>
      </c>
      <c r="B638" t="s">
        <v>854</v>
      </c>
      <c r="C638" t="s">
        <v>59</v>
      </c>
      <c r="D638" t="s">
        <v>10</v>
      </c>
      <c r="E638">
        <v>3</v>
      </c>
      <c r="F638" t="s">
        <v>11</v>
      </c>
      <c r="G638">
        <v>15.25</v>
      </c>
      <c r="H638" t="str" cm="1">
        <f t="array" ref="H638">_xlfn.XLOOKUP(TRIM(C638),_xlfn.ANCHORARRAY($L$5),$M$5:$M$18)</f>
        <v>Metro</v>
      </c>
      <c r="I638" t="str">
        <v>Coca Cola</v>
      </c>
      <c r="J638">
        <f t="shared" si="14"/>
        <v>3</v>
      </c>
    </row>
    <row r="639" spans="1:10" x14ac:dyDescent="0.25">
      <c r="A639" t="s">
        <v>855</v>
      </c>
      <c r="B639" t="s">
        <v>854</v>
      </c>
      <c r="C639" t="s">
        <v>13</v>
      </c>
      <c r="D639" t="s">
        <v>14</v>
      </c>
      <c r="E639">
        <v>4</v>
      </c>
      <c r="F639" t="s">
        <v>11</v>
      </c>
      <c r="G639">
        <v>13.1</v>
      </c>
      <c r="H639" t="str" cm="1">
        <f t="array" ref="H639">_xlfn.XLOOKUP(TRIM(C639),_xlfn.ANCHORARRAY($L$5),$M$5:$M$18)</f>
        <v>Metro</v>
      </c>
      <c r="I639" t="str">
        <v>7up</v>
      </c>
      <c r="J639">
        <f t="shared" si="14"/>
        <v>4</v>
      </c>
    </row>
    <row r="640" spans="1:10" x14ac:dyDescent="0.25">
      <c r="A640" t="s">
        <v>856</v>
      </c>
      <c r="B640" t="s">
        <v>854</v>
      </c>
      <c r="C640" t="s">
        <v>13</v>
      </c>
      <c r="D640" t="s">
        <v>16</v>
      </c>
      <c r="E640">
        <v>6</v>
      </c>
      <c r="F640" t="s">
        <v>17</v>
      </c>
      <c r="G640">
        <v>1.22</v>
      </c>
      <c r="H640" t="str" cm="1">
        <f t="array" ref="H640">_xlfn.XLOOKUP(TRIM(C640),_xlfn.ANCHORARRAY($L$5),$M$5:$M$18)</f>
        <v>Metro</v>
      </c>
      <c r="I640" t="str">
        <v>Sel</v>
      </c>
      <c r="J640">
        <f t="shared" si="14"/>
        <v>6</v>
      </c>
    </row>
    <row r="641" spans="1:10" x14ac:dyDescent="0.25">
      <c r="A641" t="s">
        <v>857</v>
      </c>
      <c r="B641" t="s">
        <v>858</v>
      </c>
      <c r="C641" t="s">
        <v>32</v>
      </c>
      <c r="D641" t="s">
        <v>33</v>
      </c>
      <c r="E641">
        <v>10</v>
      </c>
      <c r="F641" t="s">
        <v>17</v>
      </c>
      <c r="G641">
        <v>9.7899999999999991</v>
      </c>
      <c r="H641" t="str" cm="1">
        <f t="array" ref="H641">_xlfn.XLOOKUP(TRIM(C641),_xlfn.ANCHORARRAY($L$5),$M$5:$M$18)</f>
        <v>B. Halal Pro</v>
      </c>
      <c r="I641" t="str">
        <v>Viande hachée</v>
      </c>
      <c r="J641">
        <f t="shared" si="14"/>
        <v>10</v>
      </c>
    </row>
    <row r="642" spans="1:10" x14ac:dyDescent="0.25">
      <c r="A642" t="s">
        <v>859</v>
      </c>
      <c r="B642" t="s">
        <v>858</v>
      </c>
      <c r="C642" t="s">
        <v>64</v>
      </c>
      <c r="D642" t="s">
        <v>35</v>
      </c>
      <c r="E642">
        <v>8</v>
      </c>
      <c r="F642" t="s">
        <v>17</v>
      </c>
      <c r="G642">
        <v>7.09</v>
      </c>
      <c r="H642" t="str" cm="1">
        <f t="array" ref="H642">_xlfn.XLOOKUP(TRIM(C642),_xlfn.ANCHORARRAY($L$5),$M$5:$M$18)</f>
        <v>B. Halal Pro</v>
      </c>
      <c r="I642" t="str">
        <v>Poulet émincé</v>
      </c>
      <c r="J642">
        <f t="shared" ref="J642:J705" si="15">IF(E642&lt;&gt;0,E642,_xlfn.XLOOKUP(I642,$Q$5:$Q$16,$Y$5:$Y$16))</f>
        <v>8</v>
      </c>
    </row>
    <row r="643" spans="1:10" x14ac:dyDescent="0.25">
      <c r="A643" t="s">
        <v>860</v>
      </c>
      <c r="B643" t="s">
        <v>858</v>
      </c>
      <c r="C643" t="s">
        <v>37</v>
      </c>
      <c r="D643" t="s">
        <v>38</v>
      </c>
      <c r="E643">
        <v>12</v>
      </c>
      <c r="F643" t="s">
        <v>39</v>
      </c>
      <c r="G643">
        <v>5.84</v>
      </c>
      <c r="H643" t="str" cm="1">
        <f t="array" ref="H643">_xlfn.XLOOKUP(TRIM(C643),_xlfn.ANCHORARRAY($L$5),$M$5:$M$18)</f>
        <v>Boul. Express</v>
      </c>
      <c r="I643" t="str">
        <v>Pain burger</v>
      </c>
      <c r="J643">
        <f t="shared" si="15"/>
        <v>12</v>
      </c>
    </row>
    <row r="644" spans="1:10" x14ac:dyDescent="0.25">
      <c r="A644" t="s">
        <v>861</v>
      </c>
      <c r="B644" t="s">
        <v>858</v>
      </c>
      <c r="C644" t="s">
        <v>41</v>
      </c>
      <c r="D644" t="s">
        <v>42</v>
      </c>
      <c r="E644">
        <v>5</v>
      </c>
      <c r="F644" t="s">
        <v>43</v>
      </c>
      <c r="G644">
        <v>4.03</v>
      </c>
      <c r="H644" t="str" cm="1">
        <f t="array" ref="H644">_xlfn.XLOOKUP(TRIM(C644),_xlfn.ANCHORARRAY($L$5),$M$5:$M$18)</f>
        <v>Boul. Express</v>
      </c>
      <c r="I644" t="str">
        <v>Pain pita</v>
      </c>
      <c r="J644">
        <f t="shared" si="15"/>
        <v>5</v>
      </c>
    </row>
    <row r="645" spans="1:10" x14ac:dyDescent="0.25">
      <c r="A645" t="s">
        <v>862</v>
      </c>
      <c r="B645" t="s">
        <v>863</v>
      </c>
      <c r="C645" t="s">
        <v>195</v>
      </c>
      <c r="D645" t="s">
        <v>55</v>
      </c>
      <c r="E645">
        <v>8</v>
      </c>
      <c r="F645" t="s">
        <v>17</v>
      </c>
      <c r="G645">
        <v>9.27</v>
      </c>
      <c r="H645" t="str" cm="1">
        <f t="array" ref="H645">_xlfn.XLOOKUP(TRIM(C645),_xlfn.ANCHORARRAY($L$5),$M$5:$M$18)</f>
        <v>Fromag. Centrale</v>
      </c>
      <c r="I645" t="str">
        <v>Mozzarella</v>
      </c>
      <c r="J645">
        <f t="shared" si="15"/>
        <v>8</v>
      </c>
    </row>
    <row r="646" spans="1:10" x14ac:dyDescent="0.25">
      <c r="A646" t="s">
        <v>864</v>
      </c>
      <c r="B646" t="s">
        <v>865</v>
      </c>
      <c r="C646" t="s">
        <v>61</v>
      </c>
      <c r="D646" t="s">
        <v>10</v>
      </c>
      <c r="E646">
        <v>6</v>
      </c>
      <c r="F646" t="s">
        <v>11</v>
      </c>
      <c r="G646">
        <v>14.25</v>
      </c>
      <c r="H646" t="str" cm="1">
        <f t="array" ref="H646">_xlfn.XLOOKUP(TRIM(C646),_xlfn.ANCHORARRAY($L$5),$M$5:$M$18)</f>
        <v>Metro</v>
      </c>
      <c r="I646" t="str">
        <v>Coca Cola</v>
      </c>
      <c r="J646">
        <f t="shared" si="15"/>
        <v>6</v>
      </c>
    </row>
    <row r="647" spans="1:10" x14ac:dyDescent="0.25">
      <c r="A647" t="s">
        <v>866</v>
      </c>
      <c r="B647" t="s">
        <v>865</v>
      </c>
      <c r="C647" t="s">
        <v>13</v>
      </c>
      <c r="D647" t="s">
        <v>14</v>
      </c>
      <c r="E647">
        <v>6</v>
      </c>
      <c r="F647" t="s">
        <v>11</v>
      </c>
      <c r="G647">
        <v>13.12</v>
      </c>
      <c r="H647" t="str" cm="1">
        <f t="array" ref="H647">_xlfn.XLOOKUP(TRIM(C647),_xlfn.ANCHORARRAY($L$5),$M$5:$M$18)</f>
        <v>Metro</v>
      </c>
      <c r="I647" t="str">
        <v>7up</v>
      </c>
      <c r="J647">
        <f t="shared" si="15"/>
        <v>6</v>
      </c>
    </row>
    <row r="648" spans="1:10" x14ac:dyDescent="0.25">
      <c r="A648" t="s">
        <v>867</v>
      </c>
      <c r="B648" t="s">
        <v>865</v>
      </c>
      <c r="C648" t="s">
        <v>97</v>
      </c>
      <c r="D648" t="s">
        <v>16</v>
      </c>
      <c r="E648">
        <v>4</v>
      </c>
      <c r="F648" t="s">
        <v>17</v>
      </c>
      <c r="G648">
        <v>1.23</v>
      </c>
      <c r="H648" t="str" cm="1">
        <f t="array" ref="H648">_xlfn.XLOOKUP(TRIM(C648),_xlfn.ANCHORARRAY($L$5),$M$5:$M$18)</f>
        <v>Metro</v>
      </c>
      <c r="I648" t="str">
        <v>Sel</v>
      </c>
      <c r="J648">
        <f t="shared" si="15"/>
        <v>4</v>
      </c>
    </row>
    <row r="649" spans="1:10" x14ac:dyDescent="0.25">
      <c r="A649" t="s">
        <v>868</v>
      </c>
      <c r="B649" t="s">
        <v>865</v>
      </c>
      <c r="C649" t="s">
        <v>46</v>
      </c>
      <c r="D649" t="s">
        <v>20</v>
      </c>
      <c r="E649">
        <v>4</v>
      </c>
      <c r="F649" t="s">
        <v>21</v>
      </c>
      <c r="G649">
        <v>4.4800000000000004</v>
      </c>
      <c r="H649" t="str" cm="1">
        <f t="array" ref="H649">_xlfn.XLOOKUP(TRIM(C649),_xlfn.ANCHORARRAY($L$5),$M$5:$M$18)</f>
        <v>LEGUMEX</v>
      </c>
      <c r="I649" t="str">
        <v>Tomates pelées</v>
      </c>
      <c r="J649">
        <f t="shared" si="15"/>
        <v>4</v>
      </c>
    </row>
    <row r="650" spans="1:10" x14ac:dyDescent="0.25">
      <c r="A650" t="s">
        <v>869</v>
      </c>
      <c r="B650" t="s">
        <v>865</v>
      </c>
      <c r="C650" t="s">
        <v>23</v>
      </c>
      <c r="D650" t="s">
        <v>24</v>
      </c>
      <c r="E650">
        <v>6</v>
      </c>
      <c r="F650" t="s">
        <v>25</v>
      </c>
      <c r="G650">
        <v>20.95</v>
      </c>
      <c r="H650" t="str" cm="1">
        <f t="array" ref="H650">_xlfn.XLOOKUP(TRIM(C650),_xlfn.ANCHORARRAY($L$5),$M$5:$M$18)</f>
        <v>LEGUMEX</v>
      </c>
      <c r="I650" t="str">
        <v>Huile olive</v>
      </c>
      <c r="J650">
        <f t="shared" si="15"/>
        <v>6</v>
      </c>
    </row>
    <row r="651" spans="1:10" x14ac:dyDescent="0.25">
      <c r="A651" t="s">
        <v>870</v>
      </c>
      <c r="B651" t="s">
        <v>865</v>
      </c>
      <c r="C651" t="s">
        <v>27</v>
      </c>
      <c r="D651" t="s">
        <v>28</v>
      </c>
      <c r="E651">
        <v>10</v>
      </c>
      <c r="F651" t="s">
        <v>29</v>
      </c>
      <c r="G651">
        <v>10.57</v>
      </c>
      <c r="H651" t="str" cm="1">
        <f t="array" ref="H651">_xlfn.XLOOKUP(TRIM(C651),_xlfn.ANCHORARRAY($L$5),$M$5:$M$18)</f>
        <v>LEGUMEX</v>
      </c>
      <c r="I651" t="str">
        <v>Sauce tomate</v>
      </c>
      <c r="J651">
        <f t="shared" si="15"/>
        <v>10</v>
      </c>
    </row>
    <row r="652" spans="1:10" x14ac:dyDescent="0.25">
      <c r="A652" t="s">
        <v>871</v>
      </c>
      <c r="B652" t="s">
        <v>872</v>
      </c>
      <c r="C652" t="s">
        <v>100</v>
      </c>
      <c r="D652" t="s">
        <v>33</v>
      </c>
      <c r="E652">
        <v>8</v>
      </c>
      <c r="F652" t="s">
        <v>17</v>
      </c>
      <c r="G652">
        <v>10.37</v>
      </c>
      <c r="H652" t="str" cm="1">
        <f t="array" ref="H652">_xlfn.XLOOKUP(TRIM(C652),_xlfn.ANCHORARRAY($L$5),$M$5:$M$18)</f>
        <v>B. Halal Pro</v>
      </c>
      <c r="I652" t="str">
        <v>Viande hachée</v>
      </c>
      <c r="J652">
        <f t="shared" si="15"/>
        <v>8</v>
      </c>
    </row>
    <row r="653" spans="1:10" x14ac:dyDescent="0.25">
      <c r="A653" t="s">
        <v>873</v>
      </c>
      <c r="B653" t="s">
        <v>872</v>
      </c>
      <c r="C653" t="s">
        <v>32</v>
      </c>
      <c r="D653" t="s">
        <v>35</v>
      </c>
      <c r="E653">
        <v>8</v>
      </c>
      <c r="F653" t="s">
        <v>17</v>
      </c>
      <c r="G653">
        <v>6.73</v>
      </c>
      <c r="H653" t="str" cm="1">
        <f t="array" ref="H653">_xlfn.XLOOKUP(TRIM(C653),_xlfn.ANCHORARRAY($L$5),$M$5:$M$18)</f>
        <v>B. Halal Pro</v>
      </c>
      <c r="I653" t="str">
        <v>Poulet émincé</v>
      </c>
      <c r="J653">
        <f t="shared" si="15"/>
        <v>8</v>
      </c>
    </row>
    <row r="654" spans="1:10" x14ac:dyDescent="0.25">
      <c r="A654" t="s">
        <v>874</v>
      </c>
      <c r="B654" t="s">
        <v>872</v>
      </c>
      <c r="C654" t="s">
        <v>37</v>
      </c>
      <c r="D654" t="s">
        <v>38</v>
      </c>
      <c r="E654">
        <v>8</v>
      </c>
      <c r="F654" t="s">
        <v>39</v>
      </c>
      <c r="G654">
        <v>5.92</v>
      </c>
      <c r="H654" t="str" cm="1">
        <f t="array" ref="H654">_xlfn.XLOOKUP(TRIM(C654),_xlfn.ANCHORARRAY($L$5),$M$5:$M$18)</f>
        <v>Boul. Express</v>
      </c>
      <c r="I654" t="str">
        <v>Pain burger</v>
      </c>
      <c r="J654">
        <f t="shared" si="15"/>
        <v>8</v>
      </c>
    </row>
    <row r="655" spans="1:10" x14ac:dyDescent="0.25">
      <c r="A655" t="s">
        <v>875</v>
      </c>
      <c r="B655" t="s">
        <v>872</v>
      </c>
      <c r="C655" t="s">
        <v>37</v>
      </c>
      <c r="D655" t="s">
        <v>42</v>
      </c>
      <c r="E655">
        <v>8</v>
      </c>
      <c r="F655" t="s">
        <v>43</v>
      </c>
      <c r="G655">
        <v>3.99</v>
      </c>
      <c r="H655" t="str" cm="1">
        <f t="array" ref="H655">_xlfn.XLOOKUP(TRIM(C655),_xlfn.ANCHORARRAY($L$5),$M$5:$M$18)</f>
        <v>Boul. Express</v>
      </c>
      <c r="I655" t="str">
        <v>Pain pita</v>
      </c>
      <c r="J655">
        <f t="shared" si="15"/>
        <v>8</v>
      </c>
    </row>
    <row r="656" spans="1:10" x14ac:dyDescent="0.25">
      <c r="A656" t="s">
        <v>876</v>
      </c>
      <c r="B656" t="s">
        <v>877</v>
      </c>
      <c r="C656" t="s">
        <v>27</v>
      </c>
      <c r="D656" t="s">
        <v>20</v>
      </c>
      <c r="E656">
        <v>4</v>
      </c>
      <c r="F656" t="s">
        <v>21</v>
      </c>
      <c r="G656">
        <v>4.37</v>
      </c>
      <c r="H656" t="str" cm="1">
        <f t="array" ref="H656">_xlfn.XLOOKUP(TRIM(C656),_xlfn.ANCHORARRAY($L$5),$M$5:$M$18)</f>
        <v>LEGUMEX</v>
      </c>
      <c r="I656" t="str">
        <v>Tomates pelées</v>
      </c>
      <c r="J656">
        <f t="shared" si="15"/>
        <v>4</v>
      </c>
    </row>
    <row r="657" spans="1:10" x14ac:dyDescent="0.25">
      <c r="A657" t="s">
        <v>878</v>
      </c>
      <c r="B657" t="s">
        <v>877</v>
      </c>
      <c r="C657" t="s">
        <v>27</v>
      </c>
      <c r="D657" t="s">
        <v>24</v>
      </c>
      <c r="E657">
        <v>6</v>
      </c>
      <c r="F657" t="s">
        <v>25</v>
      </c>
      <c r="G657">
        <v>21.28</v>
      </c>
      <c r="H657" t="str" cm="1">
        <f t="array" ref="H657">_xlfn.XLOOKUP(TRIM(C657),_xlfn.ANCHORARRAY($L$5),$M$5:$M$18)</f>
        <v>LEGUMEX</v>
      </c>
      <c r="I657" t="str">
        <v>Huile olive</v>
      </c>
      <c r="J657">
        <f t="shared" si="15"/>
        <v>6</v>
      </c>
    </row>
    <row r="658" spans="1:10" x14ac:dyDescent="0.25">
      <c r="A658" t="s">
        <v>879</v>
      </c>
      <c r="B658" t="s">
        <v>877</v>
      </c>
      <c r="C658" t="s">
        <v>23</v>
      </c>
      <c r="D658" t="s">
        <v>28</v>
      </c>
      <c r="E658">
        <v>8</v>
      </c>
      <c r="F658" t="s">
        <v>29</v>
      </c>
      <c r="G658">
        <v>9.32</v>
      </c>
      <c r="H658" t="str" cm="1">
        <f t="array" ref="H658">_xlfn.XLOOKUP(TRIM(C658),_xlfn.ANCHORARRAY($L$5),$M$5:$M$18)</f>
        <v>LEGUMEX</v>
      </c>
      <c r="I658" t="str">
        <v>Sauce tomate</v>
      </c>
      <c r="J658">
        <f t="shared" si="15"/>
        <v>8</v>
      </c>
    </row>
    <row r="659" spans="1:10" x14ac:dyDescent="0.25">
      <c r="A659" t="s">
        <v>880</v>
      </c>
      <c r="B659" t="s">
        <v>877</v>
      </c>
      <c r="C659" t="s">
        <v>50</v>
      </c>
      <c r="D659" t="s">
        <v>51</v>
      </c>
      <c r="E659">
        <v>3</v>
      </c>
      <c r="F659" t="s">
        <v>52</v>
      </c>
      <c r="G659">
        <v>18.920000000000002</v>
      </c>
      <c r="H659" t="str" cm="1">
        <f t="array" ref="H659">_xlfn.XLOOKUP(TRIM(C659),_xlfn.ANCHORARRAY($L$5),$M$5:$M$18)</f>
        <v>Moulin du Nord</v>
      </c>
      <c r="I659" t="str">
        <v>Farine</v>
      </c>
      <c r="J659">
        <f t="shared" si="15"/>
        <v>3</v>
      </c>
    </row>
    <row r="660" spans="1:10" x14ac:dyDescent="0.25">
      <c r="A660" t="s">
        <v>881</v>
      </c>
      <c r="B660" t="s">
        <v>877</v>
      </c>
      <c r="C660" t="s">
        <v>195</v>
      </c>
      <c r="D660" t="s">
        <v>55</v>
      </c>
      <c r="E660">
        <v>4</v>
      </c>
      <c r="F660" t="s">
        <v>17</v>
      </c>
      <c r="G660">
        <v>8.49</v>
      </c>
      <c r="H660" t="str" cm="1">
        <f t="array" ref="H660">_xlfn.XLOOKUP(TRIM(C660),_xlfn.ANCHORARRAY($L$5),$M$5:$M$18)</f>
        <v>Fromag. Centrale</v>
      </c>
      <c r="I660" t="str">
        <v>Mozzarella</v>
      </c>
      <c r="J660">
        <f t="shared" si="15"/>
        <v>4</v>
      </c>
    </row>
    <row r="661" spans="1:10" x14ac:dyDescent="0.25">
      <c r="A661" t="s">
        <v>882</v>
      </c>
      <c r="B661" t="s">
        <v>883</v>
      </c>
      <c r="C661" t="s">
        <v>97</v>
      </c>
      <c r="D661" t="s">
        <v>10</v>
      </c>
      <c r="E661">
        <v>5</v>
      </c>
      <c r="F661" t="s">
        <v>11</v>
      </c>
      <c r="G661">
        <v>14.15</v>
      </c>
      <c r="H661" t="str" cm="1">
        <f t="array" ref="H661">_xlfn.XLOOKUP(TRIM(C661),_xlfn.ANCHORARRAY($L$5),$M$5:$M$18)</f>
        <v>Metro</v>
      </c>
      <c r="I661" t="str">
        <v>Coca Cola</v>
      </c>
      <c r="J661">
        <f t="shared" si="15"/>
        <v>5</v>
      </c>
    </row>
    <row r="662" spans="1:10" x14ac:dyDescent="0.25">
      <c r="A662" t="s">
        <v>884</v>
      </c>
      <c r="B662" t="s">
        <v>883</v>
      </c>
      <c r="C662" t="s">
        <v>13</v>
      </c>
      <c r="D662" t="s">
        <v>14</v>
      </c>
      <c r="E662">
        <v>4</v>
      </c>
      <c r="F662" t="s">
        <v>11</v>
      </c>
      <c r="G662">
        <v>12.89</v>
      </c>
      <c r="H662" t="str" cm="1">
        <f t="array" ref="H662">_xlfn.XLOOKUP(TRIM(C662),_xlfn.ANCHORARRAY($L$5),$M$5:$M$18)</f>
        <v>Metro</v>
      </c>
      <c r="I662" t="str">
        <v>7up</v>
      </c>
      <c r="J662">
        <f t="shared" si="15"/>
        <v>4</v>
      </c>
    </row>
    <row r="663" spans="1:10" x14ac:dyDescent="0.25">
      <c r="A663" t="s">
        <v>885</v>
      </c>
      <c r="B663" t="s">
        <v>883</v>
      </c>
      <c r="C663" t="s">
        <v>61</v>
      </c>
      <c r="D663" t="s">
        <v>16</v>
      </c>
      <c r="E663">
        <v>4</v>
      </c>
      <c r="F663" t="s">
        <v>17</v>
      </c>
      <c r="G663">
        <v>1.21</v>
      </c>
      <c r="H663" t="str" cm="1">
        <f t="array" ref="H663">_xlfn.XLOOKUP(TRIM(C663),_xlfn.ANCHORARRAY($L$5),$M$5:$M$18)</f>
        <v>Metro</v>
      </c>
      <c r="I663" t="str">
        <v>Sel</v>
      </c>
      <c r="J663">
        <f t="shared" si="15"/>
        <v>4</v>
      </c>
    </row>
    <row r="664" spans="1:10" x14ac:dyDescent="0.25">
      <c r="A664" t="s">
        <v>886</v>
      </c>
      <c r="B664" t="s">
        <v>887</v>
      </c>
      <c r="C664" t="s">
        <v>100</v>
      </c>
      <c r="D664" t="s">
        <v>33</v>
      </c>
      <c r="E664">
        <v>12</v>
      </c>
      <c r="F664" t="s">
        <v>17</v>
      </c>
      <c r="G664">
        <v>10.46</v>
      </c>
      <c r="H664" t="str" cm="1">
        <f t="array" ref="H664">_xlfn.XLOOKUP(TRIM(C664),_xlfn.ANCHORARRAY($L$5),$M$5:$M$18)</f>
        <v>B. Halal Pro</v>
      </c>
      <c r="I664" t="str">
        <v>Viande hachée</v>
      </c>
      <c r="J664">
        <f t="shared" si="15"/>
        <v>12</v>
      </c>
    </row>
    <row r="665" spans="1:10" x14ac:dyDescent="0.25">
      <c r="A665" t="s">
        <v>888</v>
      </c>
      <c r="B665" t="s">
        <v>887</v>
      </c>
      <c r="C665" t="s">
        <v>100</v>
      </c>
      <c r="D665" t="s">
        <v>35</v>
      </c>
      <c r="E665">
        <v>5</v>
      </c>
      <c r="F665" t="s">
        <v>17</v>
      </c>
      <c r="G665">
        <v>6.72</v>
      </c>
      <c r="H665" t="str" cm="1">
        <f t="array" ref="H665">_xlfn.XLOOKUP(TRIM(C665),_xlfn.ANCHORARRAY($L$5),$M$5:$M$18)</f>
        <v>B. Halal Pro</v>
      </c>
      <c r="I665" t="str">
        <v>Poulet émincé</v>
      </c>
      <c r="J665">
        <f t="shared" si="15"/>
        <v>5</v>
      </c>
    </row>
    <row r="666" spans="1:10" x14ac:dyDescent="0.25">
      <c r="A666" t="s">
        <v>889</v>
      </c>
      <c r="B666" t="s">
        <v>887</v>
      </c>
      <c r="C666" t="s">
        <v>41</v>
      </c>
      <c r="D666" t="s">
        <v>38</v>
      </c>
      <c r="E666">
        <v>12</v>
      </c>
      <c r="F666" t="s">
        <v>39</v>
      </c>
      <c r="G666">
        <v>5.89</v>
      </c>
      <c r="H666" t="str" cm="1">
        <f t="array" ref="H666">_xlfn.XLOOKUP(TRIM(C666),_xlfn.ANCHORARRAY($L$5),$M$5:$M$18)</f>
        <v>Boul. Express</v>
      </c>
      <c r="I666" t="str">
        <v>Pain burger</v>
      </c>
      <c r="J666">
        <f t="shared" si="15"/>
        <v>12</v>
      </c>
    </row>
    <row r="667" spans="1:10" x14ac:dyDescent="0.25">
      <c r="A667" t="s">
        <v>890</v>
      </c>
      <c r="B667" t="s">
        <v>887</v>
      </c>
      <c r="C667" t="s">
        <v>69</v>
      </c>
      <c r="D667" t="s">
        <v>42</v>
      </c>
      <c r="E667">
        <v>8</v>
      </c>
      <c r="F667" t="s">
        <v>43</v>
      </c>
      <c r="G667">
        <v>3.9</v>
      </c>
      <c r="H667" t="str" cm="1">
        <f t="array" ref="H667">_xlfn.XLOOKUP(TRIM(C667),_xlfn.ANCHORARRAY($L$5),$M$5:$M$18)</f>
        <v>Boul. Express</v>
      </c>
      <c r="I667" t="str">
        <v>Pain pita</v>
      </c>
      <c r="J667">
        <f t="shared" si="15"/>
        <v>8</v>
      </c>
    </row>
    <row r="668" spans="1:10" x14ac:dyDescent="0.25">
      <c r="A668" t="s">
        <v>891</v>
      </c>
      <c r="B668" t="s">
        <v>892</v>
      </c>
      <c r="C668" t="s">
        <v>154</v>
      </c>
      <c r="D668" t="s">
        <v>55</v>
      </c>
      <c r="E668">
        <v>8</v>
      </c>
      <c r="F668" t="s">
        <v>17</v>
      </c>
      <c r="G668">
        <v>8.7200000000000006</v>
      </c>
      <c r="H668" t="str" cm="1">
        <f t="array" ref="H668">_xlfn.XLOOKUP(TRIM(C668),_xlfn.ANCHORARRAY($L$5),$M$5:$M$18)</f>
        <v>Fromag. Centrale</v>
      </c>
      <c r="I668" t="str">
        <v>Mozzarella</v>
      </c>
      <c r="J668">
        <f t="shared" si="15"/>
        <v>8</v>
      </c>
    </row>
    <row r="669" spans="1:10" x14ac:dyDescent="0.25">
      <c r="A669" t="s">
        <v>893</v>
      </c>
      <c r="B669" t="s">
        <v>894</v>
      </c>
      <c r="C669" t="s">
        <v>9</v>
      </c>
      <c r="D669" t="s">
        <v>10</v>
      </c>
      <c r="E669">
        <v>5</v>
      </c>
      <c r="F669" t="s">
        <v>11</v>
      </c>
      <c r="G669">
        <v>14.23</v>
      </c>
      <c r="H669" t="str" cm="1">
        <f t="array" ref="H669">_xlfn.XLOOKUP(TRIM(C669),_xlfn.ANCHORARRAY($L$5),$M$5:$M$18)</f>
        <v>Metro</v>
      </c>
      <c r="I669" t="str">
        <v>Coca Cola</v>
      </c>
      <c r="J669">
        <f t="shared" si="15"/>
        <v>5</v>
      </c>
    </row>
    <row r="670" spans="1:10" x14ac:dyDescent="0.25">
      <c r="A670" t="s">
        <v>895</v>
      </c>
      <c r="B670" t="s">
        <v>894</v>
      </c>
      <c r="C670" t="s">
        <v>13</v>
      </c>
      <c r="D670" t="s">
        <v>14</v>
      </c>
      <c r="E670">
        <v>6</v>
      </c>
      <c r="F670" t="s">
        <v>11</v>
      </c>
      <c r="G670">
        <v>13.16</v>
      </c>
      <c r="H670" t="str" cm="1">
        <f t="array" ref="H670">_xlfn.XLOOKUP(TRIM(C670),_xlfn.ANCHORARRAY($L$5),$M$5:$M$18)</f>
        <v>Metro</v>
      </c>
      <c r="I670" t="str">
        <v>7up</v>
      </c>
      <c r="J670">
        <f t="shared" si="15"/>
        <v>6</v>
      </c>
    </row>
    <row r="671" spans="1:10" x14ac:dyDescent="0.25">
      <c r="A671" t="s">
        <v>896</v>
      </c>
      <c r="B671" t="s">
        <v>894</v>
      </c>
      <c r="C671" t="s">
        <v>13</v>
      </c>
      <c r="D671" t="s">
        <v>16</v>
      </c>
      <c r="E671">
        <v>6</v>
      </c>
      <c r="F671" t="s">
        <v>17</v>
      </c>
      <c r="G671">
        <v>1.21</v>
      </c>
      <c r="H671" t="str" cm="1">
        <f t="array" ref="H671">_xlfn.XLOOKUP(TRIM(C671),_xlfn.ANCHORARRAY($L$5),$M$5:$M$18)</f>
        <v>Metro</v>
      </c>
      <c r="I671" t="str">
        <v>Sel</v>
      </c>
      <c r="J671">
        <f t="shared" si="15"/>
        <v>6</v>
      </c>
    </row>
    <row r="672" spans="1:10" x14ac:dyDescent="0.25">
      <c r="A672" t="s">
        <v>897</v>
      </c>
      <c r="B672" t="s">
        <v>894</v>
      </c>
      <c r="C672" t="s">
        <v>27</v>
      </c>
      <c r="D672" t="s">
        <v>20</v>
      </c>
      <c r="E672">
        <v>4</v>
      </c>
      <c r="F672" t="s">
        <v>21</v>
      </c>
      <c r="G672">
        <v>4.28</v>
      </c>
      <c r="H672" t="str" cm="1">
        <f t="array" ref="H672">_xlfn.XLOOKUP(TRIM(C672),_xlfn.ANCHORARRAY($L$5),$M$5:$M$18)</f>
        <v>LEGUMEX</v>
      </c>
      <c r="I672" t="str">
        <v>Tomates pelées</v>
      </c>
      <c r="J672">
        <f t="shared" si="15"/>
        <v>4</v>
      </c>
    </row>
    <row r="673" spans="1:10" x14ac:dyDescent="0.25">
      <c r="A673" t="s">
        <v>898</v>
      </c>
      <c r="B673" t="s">
        <v>894</v>
      </c>
      <c r="C673" t="s">
        <v>46</v>
      </c>
      <c r="D673" t="s">
        <v>24</v>
      </c>
      <c r="E673">
        <v>10</v>
      </c>
      <c r="F673" t="s">
        <v>25</v>
      </c>
      <c r="G673">
        <v>21.28</v>
      </c>
      <c r="H673" t="str" cm="1">
        <f t="array" ref="H673">_xlfn.XLOOKUP(TRIM(C673),_xlfn.ANCHORARRAY($L$5),$M$5:$M$18)</f>
        <v>LEGUMEX</v>
      </c>
      <c r="I673" t="str">
        <v>Huile olive</v>
      </c>
      <c r="J673">
        <f t="shared" si="15"/>
        <v>10</v>
      </c>
    </row>
    <row r="674" spans="1:10" x14ac:dyDescent="0.25">
      <c r="A674" t="s">
        <v>899</v>
      </c>
      <c r="B674" t="s">
        <v>894</v>
      </c>
      <c r="C674" t="s">
        <v>19</v>
      </c>
      <c r="D674" t="s">
        <v>28</v>
      </c>
      <c r="F674" t="s">
        <v>29</v>
      </c>
      <c r="G674">
        <v>10.28</v>
      </c>
      <c r="H674" t="str" cm="1">
        <f t="array" ref="H674">_xlfn.XLOOKUP(TRIM(C674),_xlfn.ANCHORARRAY($L$5),$M$5:$M$18)</f>
        <v>LEGUMEX</v>
      </c>
      <c r="I674" t="str">
        <v>Sauce tomate</v>
      </c>
      <c r="J674">
        <f t="shared" si="15"/>
        <v>8</v>
      </c>
    </row>
    <row r="675" spans="1:10" x14ac:dyDescent="0.25">
      <c r="A675" t="s">
        <v>900</v>
      </c>
      <c r="B675" t="s">
        <v>901</v>
      </c>
      <c r="C675" t="s">
        <v>64</v>
      </c>
      <c r="D675" t="s">
        <v>33</v>
      </c>
      <c r="F675" t="s">
        <v>17</v>
      </c>
      <c r="G675">
        <v>8.39</v>
      </c>
      <c r="H675" t="str" cm="1">
        <f t="array" ref="H675">_xlfn.XLOOKUP(TRIM(C675),_xlfn.ANCHORARRAY($L$5),$M$5:$M$18)</f>
        <v>B. Halal Pro</v>
      </c>
      <c r="I675" t="str">
        <v>Viande hachée</v>
      </c>
      <c r="J675">
        <f t="shared" si="15"/>
        <v>6</v>
      </c>
    </row>
    <row r="676" spans="1:10" x14ac:dyDescent="0.25">
      <c r="A676" t="s">
        <v>902</v>
      </c>
      <c r="B676" t="s">
        <v>901</v>
      </c>
      <c r="C676" t="s">
        <v>64</v>
      </c>
      <c r="D676" t="s">
        <v>35</v>
      </c>
      <c r="E676">
        <v>10</v>
      </c>
      <c r="F676" t="s">
        <v>17</v>
      </c>
      <c r="G676">
        <v>7.72</v>
      </c>
      <c r="H676" t="str" cm="1">
        <f t="array" ref="H676">_xlfn.XLOOKUP(TRIM(C676),_xlfn.ANCHORARRAY($L$5),$M$5:$M$18)</f>
        <v>B. Halal Pro</v>
      </c>
      <c r="I676" t="str">
        <v>Poulet émincé</v>
      </c>
      <c r="J676">
        <f t="shared" si="15"/>
        <v>10</v>
      </c>
    </row>
    <row r="677" spans="1:10" x14ac:dyDescent="0.25">
      <c r="A677" t="s">
        <v>903</v>
      </c>
      <c r="B677" t="s">
        <v>901</v>
      </c>
      <c r="C677" t="s">
        <v>69</v>
      </c>
      <c r="D677" t="s">
        <v>38</v>
      </c>
      <c r="E677">
        <v>12</v>
      </c>
      <c r="F677" t="s">
        <v>39</v>
      </c>
      <c r="G677">
        <v>5.83</v>
      </c>
      <c r="H677" t="str" cm="1">
        <f t="array" ref="H677">_xlfn.XLOOKUP(TRIM(C677),_xlfn.ANCHORARRAY($L$5),$M$5:$M$18)</f>
        <v>Boul. Express</v>
      </c>
      <c r="I677" t="str">
        <v>Pain burger</v>
      </c>
      <c r="J677">
        <f t="shared" si="15"/>
        <v>12</v>
      </c>
    </row>
    <row r="678" spans="1:10" x14ac:dyDescent="0.25">
      <c r="A678" t="s">
        <v>904</v>
      </c>
      <c r="B678" t="s">
        <v>901</v>
      </c>
      <c r="C678" t="s">
        <v>83</v>
      </c>
      <c r="D678" t="s">
        <v>42</v>
      </c>
      <c r="E678">
        <v>10</v>
      </c>
      <c r="F678" t="s">
        <v>43</v>
      </c>
      <c r="G678">
        <v>3.89</v>
      </c>
      <c r="H678" t="str" cm="1">
        <f t="array" ref="H678">_xlfn.XLOOKUP(TRIM(C678),_xlfn.ANCHORARRAY($L$5),$M$5:$M$18)</f>
        <v>Boul. Express</v>
      </c>
      <c r="I678" t="str">
        <v>Pain pita</v>
      </c>
      <c r="J678">
        <f t="shared" si="15"/>
        <v>10</v>
      </c>
    </row>
    <row r="679" spans="1:10" x14ac:dyDescent="0.25">
      <c r="A679" t="s">
        <v>905</v>
      </c>
      <c r="B679" t="s">
        <v>906</v>
      </c>
      <c r="C679" t="s">
        <v>19</v>
      </c>
      <c r="D679" t="s">
        <v>20</v>
      </c>
      <c r="E679">
        <v>6</v>
      </c>
      <c r="F679" t="s">
        <v>21</v>
      </c>
      <c r="G679">
        <v>4.5199999999999996</v>
      </c>
      <c r="H679" t="str" cm="1">
        <f t="array" ref="H679">_xlfn.XLOOKUP(TRIM(C679),_xlfn.ANCHORARRAY($L$5),$M$5:$M$18)</f>
        <v>LEGUMEX</v>
      </c>
      <c r="I679" t="str">
        <v>Tomates pelées</v>
      </c>
      <c r="J679">
        <f t="shared" si="15"/>
        <v>6</v>
      </c>
    </row>
    <row r="680" spans="1:10" x14ac:dyDescent="0.25">
      <c r="A680" t="s">
        <v>907</v>
      </c>
      <c r="B680" t="s">
        <v>906</v>
      </c>
      <c r="C680" t="s">
        <v>23</v>
      </c>
      <c r="D680" t="s">
        <v>24</v>
      </c>
      <c r="E680">
        <v>4</v>
      </c>
      <c r="F680" t="s">
        <v>25</v>
      </c>
      <c r="G680">
        <v>22.58</v>
      </c>
      <c r="H680" t="str" cm="1">
        <f t="array" ref="H680">_xlfn.XLOOKUP(TRIM(C680),_xlfn.ANCHORARRAY($L$5),$M$5:$M$18)</f>
        <v>LEGUMEX</v>
      </c>
      <c r="I680" t="str">
        <v>Huile olive</v>
      </c>
      <c r="J680">
        <f t="shared" si="15"/>
        <v>4</v>
      </c>
    </row>
    <row r="681" spans="1:10" x14ac:dyDescent="0.25">
      <c r="A681" t="s">
        <v>908</v>
      </c>
      <c r="B681" t="s">
        <v>906</v>
      </c>
      <c r="C681" t="s">
        <v>23</v>
      </c>
      <c r="D681" t="s">
        <v>28</v>
      </c>
      <c r="E681">
        <v>6</v>
      </c>
      <c r="F681" t="s">
        <v>29</v>
      </c>
      <c r="G681">
        <v>10.24</v>
      </c>
      <c r="H681" t="str" cm="1">
        <f t="array" ref="H681">_xlfn.XLOOKUP(TRIM(C681),_xlfn.ANCHORARRAY($L$5),$M$5:$M$18)</f>
        <v>LEGUMEX</v>
      </c>
      <c r="I681" t="str">
        <v>Sauce tomate</v>
      </c>
      <c r="J681">
        <f t="shared" si="15"/>
        <v>6</v>
      </c>
    </row>
    <row r="682" spans="1:10" x14ac:dyDescent="0.25">
      <c r="A682" t="s">
        <v>909</v>
      </c>
      <c r="B682" t="s">
        <v>906</v>
      </c>
      <c r="C682" t="s">
        <v>90</v>
      </c>
      <c r="D682" t="s">
        <v>51</v>
      </c>
      <c r="E682">
        <v>2</v>
      </c>
      <c r="F682" t="s">
        <v>52</v>
      </c>
      <c r="G682">
        <v>19.3</v>
      </c>
      <c r="H682" t="str" cm="1">
        <f t="array" ref="H682">_xlfn.XLOOKUP(TRIM(C682),_xlfn.ANCHORARRAY($L$5),$M$5:$M$18)</f>
        <v>Moulin du Nord</v>
      </c>
      <c r="I682" t="str">
        <v>Farine</v>
      </c>
      <c r="J682">
        <f t="shared" si="15"/>
        <v>2</v>
      </c>
    </row>
    <row r="683" spans="1:10" x14ac:dyDescent="0.25">
      <c r="A683" t="s">
        <v>910</v>
      </c>
      <c r="B683" t="s">
        <v>906</v>
      </c>
      <c r="C683" t="s">
        <v>154</v>
      </c>
      <c r="D683" t="s">
        <v>55</v>
      </c>
      <c r="E683">
        <v>6</v>
      </c>
      <c r="F683" t="s">
        <v>17</v>
      </c>
      <c r="G683">
        <v>8.81</v>
      </c>
      <c r="H683" t="str" cm="1">
        <f t="array" ref="H683">_xlfn.XLOOKUP(TRIM(C683),_xlfn.ANCHORARRAY($L$5),$M$5:$M$18)</f>
        <v>Fromag. Centrale</v>
      </c>
      <c r="I683" t="str">
        <v>Mozzarella</v>
      </c>
      <c r="J683">
        <f t="shared" si="15"/>
        <v>6</v>
      </c>
    </row>
    <row r="684" spans="1:10" x14ac:dyDescent="0.25">
      <c r="A684" t="s">
        <v>911</v>
      </c>
      <c r="B684" t="s">
        <v>912</v>
      </c>
      <c r="C684" t="s">
        <v>13</v>
      </c>
      <c r="D684" t="s">
        <v>10</v>
      </c>
      <c r="E684">
        <v>3</v>
      </c>
      <c r="F684" t="s">
        <v>11</v>
      </c>
      <c r="G684">
        <v>14.18</v>
      </c>
      <c r="H684" t="str" cm="1">
        <f t="array" ref="H684">_xlfn.XLOOKUP(TRIM(C684),_xlfn.ANCHORARRAY($L$5),$M$5:$M$18)</f>
        <v>Metro</v>
      </c>
      <c r="I684" t="str">
        <v>Coca Cola</v>
      </c>
      <c r="J684">
        <f t="shared" si="15"/>
        <v>3</v>
      </c>
    </row>
    <row r="685" spans="1:10" x14ac:dyDescent="0.25">
      <c r="A685" t="s">
        <v>913</v>
      </c>
      <c r="B685" t="s">
        <v>912</v>
      </c>
      <c r="C685" t="s">
        <v>61</v>
      </c>
      <c r="D685" t="s">
        <v>14</v>
      </c>
      <c r="E685">
        <v>5</v>
      </c>
      <c r="F685" t="s">
        <v>11</v>
      </c>
      <c r="G685">
        <v>13</v>
      </c>
      <c r="H685" t="str" cm="1">
        <f t="array" ref="H685">_xlfn.XLOOKUP(TRIM(C685),_xlfn.ANCHORARRAY($L$5),$M$5:$M$18)</f>
        <v>Metro</v>
      </c>
      <c r="I685" t="str">
        <v>7up</v>
      </c>
      <c r="J685">
        <f t="shared" si="15"/>
        <v>5</v>
      </c>
    </row>
    <row r="686" spans="1:10" x14ac:dyDescent="0.25">
      <c r="A686" t="s">
        <v>914</v>
      </c>
      <c r="B686" t="s">
        <v>912</v>
      </c>
      <c r="C686" t="s">
        <v>97</v>
      </c>
      <c r="D686" t="s">
        <v>16</v>
      </c>
      <c r="F686" t="s">
        <v>17</v>
      </c>
      <c r="G686">
        <v>1.25</v>
      </c>
      <c r="H686" t="str" cm="1">
        <f t="array" ref="H686">_xlfn.XLOOKUP(TRIM(C686),_xlfn.ANCHORARRAY($L$5),$M$5:$M$18)</f>
        <v>Metro</v>
      </c>
      <c r="I686" t="str">
        <v>Sel</v>
      </c>
      <c r="J686">
        <f t="shared" si="15"/>
        <v>6</v>
      </c>
    </row>
    <row r="687" spans="1:10" x14ac:dyDescent="0.25">
      <c r="A687" t="s">
        <v>915</v>
      </c>
      <c r="B687" t="s">
        <v>916</v>
      </c>
      <c r="C687" t="s">
        <v>66</v>
      </c>
      <c r="D687" t="s">
        <v>33</v>
      </c>
      <c r="E687">
        <v>5</v>
      </c>
      <c r="F687" t="s">
        <v>17</v>
      </c>
      <c r="G687">
        <v>8.98</v>
      </c>
      <c r="H687" t="str" cm="1">
        <f t="array" ref="H687">_xlfn.XLOOKUP(TRIM(C687),_xlfn.ANCHORARRAY($L$5),$M$5:$M$18)</f>
        <v>B. Halal Pro</v>
      </c>
      <c r="I687" t="str">
        <v>Viande hachée</v>
      </c>
      <c r="J687">
        <f t="shared" si="15"/>
        <v>5</v>
      </c>
    </row>
    <row r="688" spans="1:10" x14ac:dyDescent="0.25">
      <c r="A688" t="s">
        <v>917</v>
      </c>
      <c r="B688" t="s">
        <v>916</v>
      </c>
      <c r="C688" t="s">
        <v>64</v>
      </c>
      <c r="D688" t="s">
        <v>35</v>
      </c>
      <c r="E688">
        <v>12</v>
      </c>
      <c r="F688" t="s">
        <v>17</v>
      </c>
      <c r="G688">
        <v>7.2</v>
      </c>
      <c r="H688" t="str" cm="1">
        <f t="array" ref="H688">_xlfn.XLOOKUP(TRIM(C688),_xlfn.ANCHORARRAY($L$5),$M$5:$M$18)</f>
        <v>B. Halal Pro</v>
      </c>
      <c r="I688" t="str">
        <v>Poulet émincé</v>
      </c>
      <c r="J688">
        <f t="shared" si="15"/>
        <v>12</v>
      </c>
    </row>
    <row r="689" spans="1:10" x14ac:dyDescent="0.25">
      <c r="A689" t="s">
        <v>918</v>
      </c>
      <c r="B689" t="s">
        <v>916</v>
      </c>
      <c r="C689" t="s">
        <v>69</v>
      </c>
      <c r="D689" t="s">
        <v>38</v>
      </c>
      <c r="E689">
        <v>8</v>
      </c>
      <c r="F689" t="s">
        <v>39</v>
      </c>
      <c r="G689">
        <v>5.98</v>
      </c>
      <c r="H689" t="str" cm="1">
        <f t="array" ref="H689">_xlfn.XLOOKUP(TRIM(C689),_xlfn.ANCHORARRAY($L$5),$M$5:$M$18)</f>
        <v>Boul. Express</v>
      </c>
      <c r="I689" t="str">
        <v>Pain burger</v>
      </c>
      <c r="J689">
        <f t="shared" si="15"/>
        <v>8</v>
      </c>
    </row>
    <row r="690" spans="1:10" x14ac:dyDescent="0.25">
      <c r="A690" t="s">
        <v>919</v>
      </c>
      <c r="B690" t="s">
        <v>916</v>
      </c>
      <c r="C690" t="s">
        <v>37</v>
      </c>
      <c r="D690" t="s">
        <v>42</v>
      </c>
      <c r="E690">
        <v>5</v>
      </c>
      <c r="F690" t="s">
        <v>43</v>
      </c>
      <c r="G690">
        <v>4</v>
      </c>
      <c r="H690" t="str" cm="1">
        <f t="array" ref="H690">_xlfn.XLOOKUP(TRIM(C690),_xlfn.ANCHORARRAY($L$5),$M$5:$M$18)</f>
        <v>Boul. Express</v>
      </c>
      <c r="I690" t="str">
        <v>Pain pita</v>
      </c>
      <c r="J690">
        <f t="shared" si="15"/>
        <v>5</v>
      </c>
    </row>
    <row r="691" spans="1:10" x14ac:dyDescent="0.25">
      <c r="A691" t="s">
        <v>920</v>
      </c>
      <c r="B691" t="s">
        <v>921</v>
      </c>
      <c r="C691" t="s">
        <v>154</v>
      </c>
      <c r="D691" t="s">
        <v>55</v>
      </c>
      <c r="E691">
        <v>4</v>
      </c>
      <c r="F691" t="s">
        <v>17</v>
      </c>
      <c r="G691">
        <v>8.43</v>
      </c>
      <c r="H691" t="str" cm="1">
        <f t="array" ref="H691">_xlfn.XLOOKUP(TRIM(C691),_xlfn.ANCHORARRAY($L$5),$M$5:$M$18)</f>
        <v>Fromag. Centrale</v>
      </c>
      <c r="I691" t="str">
        <v>Mozzarella</v>
      </c>
      <c r="J691">
        <f t="shared" si="15"/>
        <v>4</v>
      </c>
    </row>
    <row r="692" spans="1:10" x14ac:dyDescent="0.25">
      <c r="A692" t="s">
        <v>922</v>
      </c>
      <c r="B692" t="s">
        <v>923</v>
      </c>
      <c r="C692" t="s">
        <v>59</v>
      </c>
      <c r="D692" t="s">
        <v>10</v>
      </c>
      <c r="E692">
        <v>5</v>
      </c>
      <c r="F692" t="s">
        <v>11</v>
      </c>
      <c r="G692">
        <v>14.46</v>
      </c>
      <c r="H692" t="str" cm="1">
        <f t="array" ref="H692">_xlfn.XLOOKUP(TRIM(C692),_xlfn.ANCHORARRAY($L$5),$M$5:$M$18)</f>
        <v>Metro</v>
      </c>
      <c r="I692" t="str">
        <v>Coca Cola</v>
      </c>
      <c r="J692">
        <f t="shared" si="15"/>
        <v>5</v>
      </c>
    </row>
    <row r="693" spans="1:10" x14ac:dyDescent="0.25">
      <c r="A693" t="s">
        <v>924</v>
      </c>
      <c r="B693" t="s">
        <v>923</v>
      </c>
      <c r="C693" t="s">
        <v>9</v>
      </c>
      <c r="D693" t="s">
        <v>14</v>
      </c>
      <c r="E693">
        <v>6</v>
      </c>
      <c r="F693" t="s">
        <v>11</v>
      </c>
      <c r="G693">
        <v>13.07</v>
      </c>
      <c r="H693" t="str" cm="1">
        <f t="array" ref="H693">_xlfn.XLOOKUP(TRIM(C693),_xlfn.ANCHORARRAY($L$5),$M$5:$M$18)</f>
        <v>Metro</v>
      </c>
      <c r="I693" t="str">
        <v>7up</v>
      </c>
      <c r="J693">
        <f t="shared" si="15"/>
        <v>6</v>
      </c>
    </row>
    <row r="694" spans="1:10" x14ac:dyDescent="0.25">
      <c r="A694" t="s">
        <v>925</v>
      </c>
      <c r="B694" t="s">
        <v>923</v>
      </c>
      <c r="C694" t="s">
        <v>97</v>
      </c>
      <c r="D694" t="s">
        <v>16</v>
      </c>
      <c r="E694">
        <v>5</v>
      </c>
      <c r="F694" t="s">
        <v>17</v>
      </c>
      <c r="G694">
        <v>1.25</v>
      </c>
      <c r="H694" t="str" cm="1">
        <f t="array" ref="H694">_xlfn.XLOOKUP(TRIM(C694),_xlfn.ANCHORARRAY($L$5),$M$5:$M$18)</f>
        <v>Metro</v>
      </c>
      <c r="I694" t="str">
        <v>Sel</v>
      </c>
      <c r="J694">
        <f t="shared" si="15"/>
        <v>5</v>
      </c>
    </row>
    <row r="695" spans="1:10" x14ac:dyDescent="0.25">
      <c r="A695" t="s">
        <v>926</v>
      </c>
      <c r="B695" t="s">
        <v>923</v>
      </c>
      <c r="C695" t="s">
        <v>27</v>
      </c>
      <c r="D695" t="s">
        <v>20</v>
      </c>
      <c r="E695">
        <v>4</v>
      </c>
      <c r="F695" t="s">
        <v>21</v>
      </c>
      <c r="G695">
        <v>4.26</v>
      </c>
      <c r="H695" t="str" cm="1">
        <f t="array" ref="H695">_xlfn.XLOOKUP(TRIM(C695),_xlfn.ANCHORARRAY($L$5),$M$5:$M$18)</f>
        <v>LEGUMEX</v>
      </c>
      <c r="I695" t="str">
        <v>Tomates pelées</v>
      </c>
      <c r="J695">
        <f t="shared" si="15"/>
        <v>4</v>
      </c>
    </row>
    <row r="696" spans="1:10" x14ac:dyDescent="0.25">
      <c r="A696" t="s">
        <v>927</v>
      </c>
      <c r="B696" t="s">
        <v>923</v>
      </c>
      <c r="C696" t="s">
        <v>27</v>
      </c>
      <c r="D696" t="s">
        <v>24</v>
      </c>
      <c r="E696">
        <v>4</v>
      </c>
      <c r="F696" t="s">
        <v>25</v>
      </c>
      <c r="G696">
        <v>23.63</v>
      </c>
      <c r="H696" t="str" cm="1">
        <f t="array" ref="H696">_xlfn.XLOOKUP(TRIM(C696),_xlfn.ANCHORARRAY($L$5),$M$5:$M$18)</f>
        <v>LEGUMEX</v>
      </c>
      <c r="I696" t="str">
        <v>Huile olive</v>
      </c>
      <c r="J696">
        <f t="shared" si="15"/>
        <v>4</v>
      </c>
    </row>
    <row r="697" spans="1:10" x14ac:dyDescent="0.25">
      <c r="A697" t="s">
        <v>928</v>
      </c>
      <c r="B697" t="s">
        <v>923</v>
      </c>
      <c r="C697" t="s">
        <v>46</v>
      </c>
      <c r="D697" t="s">
        <v>28</v>
      </c>
      <c r="E697">
        <v>8</v>
      </c>
      <c r="F697" t="s">
        <v>29</v>
      </c>
      <c r="G697">
        <v>10.3</v>
      </c>
      <c r="H697" t="str" cm="1">
        <f t="array" ref="H697">_xlfn.XLOOKUP(TRIM(C697),_xlfn.ANCHORARRAY($L$5),$M$5:$M$18)</f>
        <v>LEGUMEX</v>
      </c>
      <c r="I697" t="str">
        <v>Sauce tomate</v>
      </c>
      <c r="J697">
        <f t="shared" si="15"/>
        <v>8</v>
      </c>
    </row>
    <row r="698" spans="1:10" x14ac:dyDescent="0.25">
      <c r="A698" t="s">
        <v>929</v>
      </c>
      <c r="B698" t="s">
        <v>930</v>
      </c>
      <c r="C698" t="s">
        <v>66</v>
      </c>
      <c r="D698" t="s">
        <v>33</v>
      </c>
      <c r="E698">
        <v>6</v>
      </c>
      <c r="F698" t="s">
        <v>17</v>
      </c>
      <c r="G698">
        <v>8.3800000000000008</v>
      </c>
      <c r="H698" t="str" cm="1">
        <f t="array" ref="H698">_xlfn.XLOOKUP(TRIM(C698),_xlfn.ANCHORARRAY($L$5),$M$5:$M$18)</f>
        <v>B. Halal Pro</v>
      </c>
      <c r="I698" t="str">
        <v>Viande hachée</v>
      </c>
      <c r="J698">
        <f t="shared" si="15"/>
        <v>6</v>
      </c>
    </row>
    <row r="699" spans="1:10" x14ac:dyDescent="0.25">
      <c r="A699" t="s">
        <v>931</v>
      </c>
      <c r="B699" t="s">
        <v>930</v>
      </c>
      <c r="C699" t="s">
        <v>32</v>
      </c>
      <c r="D699" t="s">
        <v>35</v>
      </c>
      <c r="E699">
        <v>6</v>
      </c>
      <c r="F699" t="s">
        <v>17</v>
      </c>
      <c r="G699">
        <v>7.48</v>
      </c>
      <c r="H699" t="str" cm="1">
        <f t="array" ref="H699">_xlfn.XLOOKUP(TRIM(C699),_xlfn.ANCHORARRAY($L$5),$M$5:$M$18)</f>
        <v>B. Halal Pro</v>
      </c>
      <c r="I699" t="str">
        <v>Poulet émincé</v>
      </c>
      <c r="J699">
        <f t="shared" si="15"/>
        <v>6</v>
      </c>
    </row>
    <row r="700" spans="1:10" x14ac:dyDescent="0.25">
      <c r="A700" t="s">
        <v>932</v>
      </c>
      <c r="B700" t="s">
        <v>930</v>
      </c>
      <c r="C700" t="s">
        <v>69</v>
      </c>
      <c r="D700" t="s">
        <v>38</v>
      </c>
      <c r="E700">
        <v>8</v>
      </c>
      <c r="F700" t="s">
        <v>39</v>
      </c>
      <c r="G700">
        <v>6.03</v>
      </c>
      <c r="H700" t="str" cm="1">
        <f t="array" ref="H700">_xlfn.XLOOKUP(TRIM(C700),_xlfn.ANCHORARRAY($L$5),$M$5:$M$18)</f>
        <v>Boul. Express</v>
      </c>
      <c r="I700" t="str">
        <v>Pain burger</v>
      </c>
      <c r="J700">
        <f t="shared" si="15"/>
        <v>8</v>
      </c>
    </row>
    <row r="701" spans="1:10" x14ac:dyDescent="0.25">
      <c r="A701" t="s">
        <v>933</v>
      </c>
      <c r="B701" t="s">
        <v>930</v>
      </c>
      <c r="C701" t="s">
        <v>83</v>
      </c>
      <c r="D701" t="s">
        <v>42</v>
      </c>
      <c r="E701">
        <v>12</v>
      </c>
      <c r="F701" t="s">
        <v>43</v>
      </c>
      <c r="G701">
        <v>3.86</v>
      </c>
      <c r="H701" t="str" cm="1">
        <f t="array" ref="H701">_xlfn.XLOOKUP(TRIM(C701),_xlfn.ANCHORARRAY($L$5),$M$5:$M$18)</f>
        <v>Boul. Express</v>
      </c>
      <c r="I701" t="str">
        <v>Pain pita</v>
      </c>
      <c r="J701">
        <f t="shared" si="15"/>
        <v>12</v>
      </c>
    </row>
    <row r="702" spans="1:10" x14ac:dyDescent="0.25">
      <c r="A702" t="s">
        <v>934</v>
      </c>
      <c r="B702" t="s">
        <v>935</v>
      </c>
      <c r="C702" t="s">
        <v>46</v>
      </c>
      <c r="D702" t="s">
        <v>20</v>
      </c>
      <c r="E702">
        <v>4</v>
      </c>
      <c r="F702" t="s">
        <v>21</v>
      </c>
      <c r="G702">
        <v>4.34</v>
      </c>
      <c r="H702" t="str" cm="1">
        <f t="array" ref="H702">_xlfn.XLOOKUP(TRIM(C702),_xlfn.ANCHORARRAY($L$5),$M$5:$M$18)</f>
        <v>LEGUMEX</v>
      </c>
      <c r="I702" t="str">
        <v>Tomates pelées</v>
      </c>
      <c r="J702">
        <f t="shared" si="15"/>
        <v>4</v>
      </c>
    </row>
    <row r="703" spans="1:10" x14ac:dyDescent="0.25">
      <c r="A703" t="s">
        <v>936</v>
      </c>
      <c r="B703" t="s">
        <v>935</v>
      </c>
      <c r="C703" t="s">
        <v>27</v>
      </c>
      <c r="D703" t="s">
        <v>24</v>
      </c>
      <c r="E703">
        <v>10</v>
      </c>
      <c r="F703" t="s">
        <v>25</v>
      </c>
      <c r="G703">
        <v>23.07</v>
      </c>
      <c r="H703" t="str" cm="1">
        <f t="array" ref="H703">_xlfn.XLOOKUP(TRIM(C703),_xlfn.ANCHORARRAY($L$5),$M$5:$M$18)</f>
        <v>LEGUMEX</v>
      </c>
      <c r="I703" t="str">
        <v>Huile olive</v>
      </c>
      <c r="J703">
        <f t="shared" si="15"/>
        <v>10</v>
      </c>
    </row>
    <row r="704" spans="1:10" x14ac:dyDescent="0.25">
      <c r="A704" t="s">
        <v>937</v>
      </c>
      <c r="B704" t="s">
        <v>935</v>
      </c>
      <c r="C704" t="s">
        <v>46</v>
      </c>
      <c r="D704" t="s">
        <v>28</v>
      </c>
      <c r="E704">
        <v>6</v>
      </c>
      <c r="F704" t="s">
        <v>29</v>
      </c>
      <c r="G704">
        <v>9.44</v>
      </c>
      <c r="H704" t="str" cm="1">
        <f t="array" ref="H704">_xlfn.XLOOKUP(TRIM(C704),_xlfn.ANCHORARRAY($L$5),$M$5:$M$18)</f>
        <v>LEGUMEX</v>
      </c>
      <c r="I704" t="str">
        <v>Sauce tomate</v>
      </c>
      <c r="J704">
        <f t="shared" si="15"/>
        <v>6</v>
      </c>
    </row>
    <row r="705" spans="1:10" x14ac:dyDescent="0.25">
      <c r="A705" t="s">
        <v>938</v>
      </c>
      <c r="B705" t="s">
        <v>935</v>
      </c>
      <c r="C705" t="s">
        <v>90</v>
      </c>
      <c r="D705" t="s">
        <v>51</v>
      </c>
      <c r="E705">
        <v>2</v>
      </c>
      <c r="F705" t="s">
        <v>52</v>
      </c>
      <c r="G705">
        <v>19.38</v>
      </c>
      <c r="H705" t="str" cm="1">
        <f t="array" ref="H705">_xlfn.XLOOKUP(TRIM(C705),_xlfn.ANCHORARRAY($L$5),$M$5:$M$18)</f>
        <v>Moulin du Nord</v>
      </c>
      <c r="I705" t="str">
        <v>Farine</v>
      </c>
      <c r="J705">
        <f t="shared" si="15"/>
        <v>2</v>
      </c>
    </row>
    <row r="706" spans="1:10" x14ac:dyDescent="0.25">
      <c r="A706" t="s">
        <v>939</v>
      </c>
      <c r="B706" t="s">
        <v>935</v>
      </c>
      <c r="C706" t="s">
        <v>154</v>
      </c>
      <c r="D706" t="s">
        <v>55</v>
      </c>
      <c r="E706">
        <v>6</v>
      </c>
      <c r="F706" t="s">
        <v>17</v>
      </c>
      <c r="G706">
        <v>8.43</v>
      </c>
      <c r="H706" t="str" cm="1">
        <f t="array" ref="H706">_xlfn.XLOOKUP(TRIM(C706),_xlfn.ANCHORARRAY($L$5),$M$5:$M$18)</f>
        <v>Fromag. Centrale</v>
      </c>
      <c r="I706" t="str">
        <v>Mozzarella</v>
      </c>
      <c r="J706">
        <f t="shared" ref="J706:J769" si="16">IF(E706&lt;&gt;0,E706,_xlfn.XLOOKUP(I706,$Q$5:$Q$16,$Y$5:$Y$16))</f>
        <v>6</v>
      </c>
    </row>
    <row r="707" spans="1:10" x14ac:dyDescent="0.25">
      <c r="A707" t="s">
        <v>940</v>
      </c>
      <c r="B707" t="s">
        <v>941</v>
      </c>
      <c r="C707" t="s">
        <v>61</v>
      </c>
      <c r="D707" t="s">
        <v>10</v>
      </c>
      <c r="E707">
        <v>6</v>
      </c>
      <c r="F707" t="s">
        <v>11</v>
      </c>
      <c r="G707">
        <v>14.88</v>
      </c>
      <c r="H707" t="str" cm="1">
        <f t="array" ref="H707">_xlfn.XLOOKUP(TRIM(C707),_xlfn.ANCHORARRAY($L$5),$M$5:$M$18)</f>
        <v>Metro</v>
      </c>
      <c r="I707" t="str">
        <v>Coca Cola</v>
      </c>
      <c r="J707">
        <f t="shared" si="16"/>
        <v>6</v>
      </c>
    </row>
    <row r="708" spans="1:10" x14ac:dyDescent="0.25">
      <c r="A708" t="s">
        <v>942</v>
      </c>
      <c r="B708" t="s">
        <v>941</v>
      </c>
      <c r="C708" t="s">
        <v>9</v>
      </c>
      <c r="D708" t="s">
        <v>14</v>
      </c>
      <c r="E708">
        <v>3</v>
      </c>
      <c r="F708" t="s">
        <v>11</v>
      </c>
      <c r="G708">
        <v>13.4</v>
      </c>
      <c r="H708" t="str" cm="1">
        <f t="array" ref="H708">_xlfn.XLOOKUP(TRIM(C708),_xlfn.ANCHORARRAY($L$5),$M$5:$M$18)</f>
        <v>Metro</v>
      </c>
      <c r="I708" t="str">
        <v>7up</v>
      </c>
      <c r="J708">
        <f t="shared" si="16"/>
        <v>3</v>
      </c>
    </row>
    <row r="709" spans="1:10" x14ac:dyDescent="0.25">
      <c r="A709" t="s">
        <v>943</v>
      </c>
      <c r="B709" t="s">
        <v>941</v>
      </c>
      <c r="C709" t="s">
        <v>59</v>
      </c>
      <c r="D709" t="s">
        <v>16</v>
      </c>
      <c r="E709">
        <v>3</v>
      </c>
      <c r="F709" t="s">
        <v>17</v>
      </c>
      <c r="G709">
        <v>1.23</v>
      </c>
      <c r="H709" t="str" cm="1">
        <f t="array" ref="H709">_xlfn.XLOOKUP(TRIM(C709),_xlfn.ANCHORARRAY($L$5),$M$5:$M$18)</f>
        <v>Metro</v>
      </c>
      <c r="I709" t="str">
        <v>Sel</v>
      </c>
      <c r="J709">
        <f t="shared" si="16"/>
        <v>3</v>
      </c>
    </row>
    <row r="710" spans="1:10" x14ac:dyDescent="0.25">
      <c r="A710" t="s">
        <v>944</v>
      </c>
      <c r="B710" t="s">
        <v>945</v>
      </c>
      <c r="C710" t="s">
        <v>100</v>
      </c>
      <c r="D710" t="s">
        <v>33</v>
      </c>
      <c r="E710">
        <v>8</v>
      </c>
      <c r="F710" t="s">
        <v>17</v>
      </c>
      <c r="G710">
        <v>8.9</v>
      </c>
      <c r="H710" t="str" cm="1">
        <f t="array" ref="H710">_xlfn.XLOOKUP(TRIM(C710),_xlfn.ANCHORARRAY($L$5),$M$5:$M$18)</f>
        <v>B. Halal Pro</v>
      </c>
      <c r="I710" t="str">
        <v>Viande hachée</v>
      </c>
      <c r="J710">
        <f t="shared" si="16"/>
        <v>8</v>
      </c>
    </row>
    <row r="711" spans="1:10" x14ac:dyDescent="0.25">
      <c r="A711" t="s">
        <v>946</v>
      </c>
      <c r="B711" t="s">
        <v>945</v>
      </c>
      <c r="C711" t="s">
        <v>66</v>
      </c>
      <c r="D711" t="s">
        <v>35</v>
      </c>
      <c r="E711">
        <v>8</v>
      </c>
      <c r="F711" t="s">
        <v>17</v>
      </c>
      <c r="G711">
        <v>7.43</v>
      </c>
      <c r="H711" t="str" cm="1">
        <f t="array" ref="H711">_xlfn.XLOOKUP(TRIM(C711),_xlfn.ANCHORARRAY($L$5),$M$5:$M$18)</f>
        <v>B. Halal Pro</v>
      </c>
      <c r="I711" t="str">
        <v>Poulet émincé</v>
      </c>
      <c r="J711">
        <f t="shared" si="16"/>
        <v>8</v>
      </c>
    </row>
    <row r="712" spans="1:10" x14ac:dyDescent="0.25">
      <c r="A712" t="s">
        <v>947</v>
      </c>
      <c r="B712" t="s">
        <v>945</v>
      </c>
      <c r="C712" t="s">
        <v>37</v>
      </c>
      <c r="D712" t="s">
        <v>38</v>
      </c>
      <c r="E712">
        <v>8</v>
      </c>
      <c r="F712" t="s">
        <v>39</v>
      </c>
      <c r="G712">
        <v>5.77</v>
      </c>
      <c r="H712" t="str" cm="1">
        <f t="array" ref="H712">_xlfn.XLOOKUP(TRIM(C712),_xlfn.ANCHORARRAY($L$5),$M$5:$M$18)</f>
        <v>Boul. Express</v>
      </c>
      <c r="I712" t="str">
        <v>Pain burger</v>
      </c>
      <c r="J712">
        <f t="shared" si="16"/>
        <v>8</v>
      </c>
    </row>
    <row r="713" spans="1:10" x14ac:dyDescent="0.25">
      <c r="A713" t="s">
        <v>948</v>
      </c>
      <c r="B713" t="s">
        <v>945</v>
      </c>
      <c r="C713" t="s">
        <v>41</v>
      </c>
      <c r="D713" t="s">
        <v>42</v>
      </c>
      <c r="E713">
        <v>8</v>
      </c>
      <c r="F713" t="s">
        <v>43</v>
      </c>
      <c r="G713">
        <v>3.86</v>
      </c>
      <c r="H713" t="str" cm="1">
        <f t="array" ref="H713">_xlfn.XLOOKUP(TRIM(C713),_xlfn.ANCHORARRAY($L$5),$M$5:$M$18)</f>
        <v>Boul. Express</v>
      </c>
      <c r="I713" t="str">
        <v>Pain pita</v>
      </c>
      <c r="J713">
        <f t="shared" si="16"/>
        <v>8</v>
      </c>
    </row>
    <row r="714" spans="1:10" x14ac:dyDescent="0.25">
      <c r="A714" t="s">
        <v>949</v>
      </c>
      <c r="B714" t="s">
        <v>950</v>
      </c>
      <c r="C714" t="s">
        <v>54</v>
      </c>
      <c r="D714" t="s">
        <v>55</v>
      </c>
      <c r="E714">
        <v>8</v>
      </c>
      <c r="F714" t="s">
        <v>17</v>
      </c>
      <c r="G714">
        <v>8.94</v>
      </c>
      <c r="H714" t="str" cm="1">
        <f t="array" ref="H714">_xlfn.XLOOKUP(TRIM(C714),_xlfn.ANCHORARRAY($L$5),$M$5:$M$18)</f>
        <v>Fromag. Centrale</v>
      </c>
      <c r="I714" t="str">
        <v>Mozzarella</v>
      </c>
      <c r="J714">
        <f t="shared" si="16"/>
        <v>8</v>
      </c>
    </row>
    <row r="715" spans="1:10" x14ac:dyDescent="0.25">
      <c r="A715" t="s">
        <v>951</v>
      </c>
      <c r="B715" t="s">
        <v>952</v>
      </c>
      <c r="C715" t="s">
        <v>13</v>
      </c>
      <c r="D715" t="s">
        <v>10</v>
      </c>
      <c r="E715">
        <v>6</v>
      </c>
      <c r="F715" t="s">
        <v>11</v>
      </c>
      <c r="G715">
        <v>14.37</v>
      </c>
      <c r="H715" t="str" cm="1">
        <f t="array" ref="H715">_xlfn.XLOOKUP(TRIM(C715),_xlfn.ANCHORARRAY($L$5),$M$5:$M$18)</f>
        <v>Metro</v>
      </c>
      <c r="I715" t="str">
        <v>Coca Cola</v>
      </c>
      <c r="J715">
        <f t="shared" si="16"/>
        <v>6</v>
      </c>
    </row>
    <row r="716" spans="1:10" x14ac:dyDescent="0.25">
      <c r="A716" t="s">
        <v>953</v>
      </c>
      <c r="B716" t="s">
        <v>952</v>
      </c>
      <c r="C716" t="s">
        <v>9</v>
      </c>
      <c r="D716" t="s">
        <v>14</v>
      </c>
      <c r="E716">
        <v>3</v>
      </c>
      <c r="F716" t="s">
        <v>11</v>
      </c>
      <c r="G716">
        <v>12.99</v>
      </c>
      <c r="H716" t="str" cm="1">
        <f t="array" ref="H716">_xlfn.XLOOKUP(TRIM(C716),_xlfn.ANCHORARRAY($L$5),$M$5:$M$18)</f>
        <v>Metro</v>
      </c>
      <c r="I716" t="str">
        <v>7up</v>
      </c>
      <c r="J716">
        <f t="shared" si="16"/>
        <v>3</v>
      </c>
    </row>
    <row r="717" spans="1:10" x14ac:dyDescent="0.25">
      <c r="A717" t="s">
        <v>954</v>
      </c>
      <c r="B717" t="s">
        <v>952</v>
      </c>
      <c r="C717" t="s">
        <v>61</v>
      </c>
      <c r="D717" t="s">
        <v>16</v>
      </c>
      <c r="E717">
        <v>3</v>
      </c>
      <c r="F717" t="s">
        <v>17</v>
      </c>
      <c r="G717">
        <v>1.19</v>
      </c>
      <c r="H717" t="str" cm="1">
        <f t="array" ref="H717">_xlfn.XLOOKUP(TRIM(C717),_xlfn.ANCHORARRAY($L$5),$M$5:$M$18)</f>
        <v>Metro</v>
      </c>
      <c r="I717" t="str">
        <v>Sel</v>
      </c>
      <c r="J717">
        <f t="shared" si="16"/>
        <v>3</v>
      </c>
    </row>
    <row r="718" spans="1:10" x14ac:dyDescent="0.25">
      <c r="A718" t="s">
        <v>955</v>
      </c>
      <c r="B718" t="s">
        <v>952</v>
      </c>
      <c r="C718" t="s">
        <v>19</v>
      </c>
      <c r="D718" t="s">
        <v>20</v>
      </c>
      <c r="E718">
        <v>6</v>
      </c>
      <c r="F718" t="s">
        <v>21</v>
      </c>
      <c r="G718">
        <v>4.04</v>
      </c>
      <c r="H718" t="str" cm="1">
        <f t="array" ref="H718">_xlfn.XLOOKUP(TRIM(C718),_xlfn.ANCHORARRAY($L$5),$M$5:$M$18)</f>
        <v>LEGUMEX</v>
      </c>
      <c r="I718" t="str">
        <v>Tomates pelées</v>
      </c>
      <c r="J718">
        <f t="shared" si="16"/>
        <v>6</v>
      </c>
    </row>
    <row r="719" spans="1:10" x14ac:dyDescent="0.25">
      <c r="A719" t="s">
        <v>956</v>
      </c>
      <c r="B719" t="s">
        <v>952</v>
      </c>
      <c r="C719" t="s">
        <v>23</v>
      </c>
      <c r="D719" t="s">
        <v>24</v>
      </c>
      <c r="E719">
        <v>8</v>
      </c>
      <c r="F719" t="s">
        <v>25</v>
      </c>
      <c r="G719">
        <v>22.37</v>
      </c>
      <c r="H719" t="str" cm="1">
        <f t="array" ref="H719">_xlfn.XLOOKUP(TRIM(C719),_xlfn.ANCHORARRAY($L$5),$M$5:$M$18)</f>
        <v>LEGUMEX</v>
      </c>
      <c r="I719" t="str">
        <v>Huile olive</v>
      </c>
      <c r="J719">
        <f t="shared" si="16"/>
        <v>8</v>
      </c>
    </row>
    <row r="720" spans="1:10" x14ac:dyDescent="0.25">
      <c r="A720" t="s">
        <v>957</v>
      </c>
      <c r="B720" t="s">
        <v>952</v>
      </c>
      <c r="C720" t="s">
        <v>19</v>
      </c>
      <c r="D720" t="s">
        <v>28</v>
      </c>
      <c r="E720">
        <v>10</v>
      </c>
      <c r="F720" t="s">
        <v>29</v>
      </c>
      <c r="G720">
        <v>9.35</v>
      </c>
      <c r="H720" t="str" cm="1">
        <f t="array" ref="H720">_xlfn.XLOOKUP(TRIM(C720),_xlfn.ANCHORARRAY($L$5),$M$5:$M$18)</f>
        <v>LEGUMEX</v>
      </c>
      <c r="I720" t="str">
        <v>Sauce tomate</v>
      </c>
      <c r="J720">
        <f t="shared" si="16"/>
        <v>10</v>
      </c>
    </row>
    <row r="721" spans="1:10" x14ac:dyDescent="0.25">
      <c r="A721" t="s">
        <v>958</v>
      </c>
      <c r="B721" t="s">
        <v>959</v>
      </c>
      <c r="C721" t="s">
        <v>100</v>
      </c>
      <c r="D721" t="s">
        <v>33</v>
      </c>
      <c r="E721">
        <v>5</v>
      </c>
      <c r="F721" t="s">
        <v>17</v>
      </c>
      <c r="G721">
        <v>8.58</v>
      </c>
      <c r="H721" t="str" cm="1">
        <f t="array" ref="H721">_xlfn.XLOOKUP(TRIM(C721),_xlfn.ANCHORARRAY($L$5),$M$5:$M$18)</f>
        <v>B. Halal Pro</v>
      </c>
      <c r="I721" t="str">
        <v>Viande hachée</v>
      </c>
      <c r="J721">
        <f t="shared" si="16"/>
        <v>5</v>
      </c>
    </row>
    <row r="722" spans="1:10" x14ac:dyDescent="0.25">
      <c r="A722" t="s">
        <v>960</v>
      </c>
      <c r="B722" t="s">
        <v>959</v>
      </c>
      <c r="C722" t="s">
        <v>100</v>
      </c>
      <c r="D722" t="s">
        <v>35</v>
      </c>
      <c r="E722">
        <v>5</v>
      </c>
      <c r="F722" t="s">
        <v>17</v>
      </c>
      <c r="G722">
        <v>6.76</v>
      </c>
      <c r="H722" t="str" cm="1">
        <f t="array" ref="H722">_xlfn.XLOOKUP(TRIM(C722),_xlfn.ANCHORARRAY($L$5),$M$5:$M$18)</f>
        <v>B. Halal Pro</v>
      </c>
      <c r="I722" t="str">
        <v>Poulet émincé</v>
      </c>
      <c r="J722">
        <f t="shared" si="16"/>
        <v>5</v>
      </c>
    </row>
    <row r="723" spans="1:10" x14ac:dyDescent="0.25">
      <c r="A723" t="s">
        <v>961</v>
      </c>
      <c r="B723" t="s">
        <v>959</v>
      </c>
      <c r="C723" t="s">
        <v>83</v>
      </c>
      <c r="D723" t="s">
        <v>38</v>
      </c>
      <c r="E723">
        <v>12</v>
      </c>
      <c r="F723" t="s">
        <v>39</v>
      </c>
      <c r="G723">
        <v>5.73</v>
      </c>
      <c r="H723" t="str" cm="1">
        <f t="array" ref="H723">_xlfn.XLOOKUP(TRIM(C723),_xlfn.ANCHORARRAY($L$5),$M$5:$M$18)</f>
        <v>Boul. Express</v>
      </c>
      <c r="I723" t="str">
        <v>Pain burger</v>
      </c>
      <c r="J723">
        <f t="shared" si="16"/>
        <v>12</v>
      </c>
    </row>
    <row r="724" spans="1:10" x14ac:dyDescent="0.25">
      <c r="A724" t="s">
        <v>962</v>
      </c>
      <c r="B724" t="s">
        <v>959</v>
      </c>
      <c r="C724" t="s">
        <v>41</v>
      </c>
      <c r="D724" t="s">
        <v>42</v>
      </c>
      <c r="E724">
        <v>10</v>
      </c>
      <c r="F724" t="s">
        <v>43</v>
      </c>
      <c r="G724">
        <v>3.96</v>
      </c>
      <c r="H724" t="str" cm="1">
        <f t="array" ref="H724">_xlfn.XLOOKUP(TRIM(C724),_xlfn.ANCHORARRAY($L$5),$M$5:$M$18)</f>
        <v>Boul. Express</v>
      </c>
      <c r="I724" t="str">
        <v>Pain pita</v>
      </c>
      <c r="J724">
        <f t="shared" si="16"/>
        <v>10</v>
      </c>
    </row>
    <row r="725" spans="1:10" x14ac:dyDescent="0.25">
      <c r="A725" t="s">
        <v>963</v>
      </c>
      <c r="B725" t="s">
        <v>964</v>
      </c>
      <c r="C725" t="s">
        <v>27</v>
      </c>
      <c r="D725" t="s">
        <v>20</v>
      </c>
      <c r="E725">
        <v>4</v>
      </c>
      <c r="F725" t="s">
        <v>21</v>
      </c>
      <c r="G725">
        <v>4</v>
      </c>
      <c r="H725" t="str" cm="1">
        <f t="array" ref="H725">_xlfn.XLOOKUP(TRIM(C725),_xlfn.ANCHORARRAY($L$5),$M$5:$M$18)</f>
        <v>LEGUMEX</v>
      </c>
      <c r="I725" t="str">
        <v>Tomates pelées</v>
      </c>
      <c r="J725">
        <f t="shared" si="16"/>
        <v>4</v>
      </c>
    </row>
    <row r="726" spans="1:10" x14ac:dyDescent="0.25">
      <c r="A726" t="s">
        <v>965</v>
      </c>
      <c r="B726" t="s">
        <v>964</v>
      </c>
      <c r="C726" t="s">
        <v>23</v>
      </c>
      <c r="D726" t="s">
        <v>24</v>
      </c>
      <c r="E726">
        <v>4</v>
      </c>
      <c r="F726" t="s">
        <v>25</v>
      </c>
      <c r="G726">
        <v>23.21</v>
      </c>
      <c r="H726" t="str" cm="1">
        <f t="array" ref="H726">_xlfn.XLOOKUP(TRIM(C726),_xlfn.ANCHORARRAY($L$5),$M$5:$M$18)</f>
        <v>LEGUMEX</v>
      </c>
      <c r="I726" t="str">
        <v>Huile olive</v>
      </c>
      <c r="J726">
        <f t="shared" si="16"/>
        <v>4</v>
      </c>
    </row>
    <row r="727" spans="1:10" x14ac:dyDescent="0.25">
      <c r="A727" t="s">
        <v>966</v>
      </c>
      <c r="B727" t="s">
        <v>964</v>
      </c>
      <c r="C727" t="s">
        <v>46</v>
      </c>
      <c r="D727" t="s">
        <v>28</v>
      </c>
      <c r="E727">
        <v>10</v>
      </c>
      <c r="F727" t="s">
        <v>29</v>
      </c>
      <c r="G727">
        <v>9.4700000000000006</v>
      </c>
      <c r="H727" t="str" cm="1">
        <f t="array" ref="H727">_xlfn.XLOOKUP(TRIM(C727),_xlfn.ANCHORARRAY($L$5),$M$5:$M$18)</f>
        <v>LEGUMEX</v>
      </c>
      <c r="I727" t="str">
        <v>Sauce tomate</v>
      </c>
      <c r="J727">
        <f t="shared" si="16"/>
        <v>10</v>
      </c>
    </row>
    <row r="728" spans="1:10" x14ac:dyDescent="0.25">
      <c r="A728" t="s">
        <v>967</v>
      </c>
      <c r="B728" t="s">
        <v>964</v>
      </c>
      <c r="C728" t="s">
        <v>50</v>
      </c>
      <c r="D728" t="s">
        <v>51</v>
      </c>
      <c r="E728">
        <v>3</v>
      </c>
      <c r="F728" t="s">
        <v>52</v>
      </c>
      <c r="G728">
        <v>19.13</v>
      </c>
      <c r="H728" t="str" cm="1">
        <f t="array" ref="H728">_xlfn.XLOOKUP(TRIM(C728),_xlfn.ANCHORARRAY($L$5),$M$5:$M$18)</f>
        <v>Moulin du Nord</v>
      </c>
      <c r="I728" t="str">
        <v>Farine</v>
      </c>
      <c r="J728">
        <f t="shared" si="16"/>
        <v>3</v>
      </c>
    </row>
    <row r="729" spans="1:10" x14ac:dyDescent="0.25">
      <c r="A729" t="s">
        <v>968</v>
      </c>
      <c r="B729" t="s">
        <v>964</v>
      </c>
      <c r="C729" t="s">
        <v>195</v>
      </c>
      <c r="D729" t="s">
        <v>55</v>
      </c>
      <c r="E729">
        <v>6</v>
      </c>
      <c r="F729" t="s">
        <v>17</v>
      </c>
      <c r="G729">
        <v>9.34</v>
      </c>
      <c r="H729" t="str" cm="1">
        <f t="array" ref="H729">_xlfn.XLOOKUP(TRIM(C729),_xlfn.ANCHORARRAY($L$5),$M$5:$M$18)</f>
        <v>Fromag. Centrale</v>
      </c>
      <c r="I729" t="str">
        <v>Mozzarella</v>
      </c>
      <c r="J729">
        <f t="shared" si="16"/>
        <v>6</v>
      </c>
    </row>
    <row r="730" spans="1:10" x14ac:dyDescent="0.25">
      <c r="A730" t="s">
        <v>969</v>
      </c>
      <c r="B730" t="s">
        <v>970</v>
      </c>
      <c r="C730" t="s">
        <v>13</v>
      </c>
      <c r="D730" t="s">
        <v>10</v>
      </c>
      <c r="E730">
        <v>5</v>
      </c>
      <c r="F730" t="s">
        <v>11</v>
      </c>
      <c r="G730">
        <v>14.33</v>
      </c>
      <c r="H730" t="str" cm="1">
        <f t="array" ref="H730">_xlfn.XLOOKUP(TRIM(C730),_xlfn.ANCHORARRAY($L$5),$M$5:$M$18)</f>
        <v>Metro</v>
      </c>
      <c r="I730" t="str">
        <v>Coca Cola</v>
      </c>
      <c r="J730">
        <f t="shared" si="16"/>
        <v>5</v>
      </c>
    </row>
    <row r="731" spans="1:10" x14ac:dyDescent="0.25">
      <c r="A731" t="s">
        <v>971</v>
      </c>
      <c r="B731" t="s">
        <v>970</v>
      </c>
      <c r="C731" t="s">
        <v>9</v>
      </c>
      <c r="D731" t="s">
        <v>14</v>
      </c>
      <c r="E731">
        <v>4</v>
      </c>
      <c r="F731" t="s">
        <v>11</v>
      </c>
      <c r="G731">
        <v>13.57</v>
      </c>
      <c r="H731" t="str" cm="1">
        <f t="array" ref="H731">_xlfn.XLOOKUP(TRIM(C731),_xlfn.ANCHORARRAY($L$5),$M$5:$M$18)</f>
        <v>Metro</v>
      </c>
      <c r="I731" t="str">
        <v>7up</v>
      </c>
      <c r="J731">
        <f t="shared" si="16"/>
        <v>4</v>
      </c>
    </row>
    <row r="732" spans="1:10" x14ac:dyDescent="0.25">
      <c r="A732" t="s">
        <v>972</v>
      </c>
      <c r="B732" t="s">
        <v>970</v>
      </c>
      <c r="C732" t="s">
        <v>61</v>
      </c>
      <c r="D732" t="s">
        <v>16</v>
      </c>
      <c r="E732">
        <v>6</v>
      </c>
      <c r="F732" t="s">
        <v>17</v>
      </c>
      <c r="G732">
        <v>1.17</v>
      </c>
      <c r="H732" t="str" cm="1">
        <f t="array" ref="H732">_xlfn.XLOOKUP(TRIM(C732),_xlfn.ANCHORARRAY($L$5),$M$5:$M$18)</f>
        <v>Metro</v>
      </c>
      <c r="I732" t="str">
        <v>Sel</v>
      </c>
      <c r="J732">
        <f t="shared" si="16"/>
        <v>6</v>
      </c>
    </row>
    <row r="733" spans="1:10" x14ac:dyDescent="0.25">
      <c r="A733" t="s">
        <v>973</v>
      </c>
      <c r="B733" t="s">
        <v>974</v>
      </c>
      <c r="C733" t="s">
        <v>100</v>
      </c>
      <c r="D733" t="s">
        <v>33</v>
      </c>
      <c r="E733">
        <v>12</v>
      </c>
      <c r="F733" t="s">
        <v>17</v>
      </c>
      <c r="G733">
        <v>9.32</v>
      </c>
      <c r="H733" t="str" cm="1">
        <f t="array" ref="H733">_xlfn.XLOOKUP(TRIM(C733),_xlfn.ANCHORARRAY($L$5),$M$5:$M$18)</f>
        <v>B. Halal Pro</v>
      </c>
      <c r="I733" t="str">
        <v>Viande hachée</v>
      </c>
      <c r="J733">
        <f t="shared" si="16"/>
        <v>12</v>
      </c>
    </row>
    <row r="734" spans="1:10" x14ac:dyDescent="0.25">
      <c r="A734" t="s">
        <v>975</v>
      </c>
      <c r="B734" t="s">
        <v>974</v>
      </c>
      <c r="C734" t="s">
        <v>64</v>
      </c>
      <c r="D734" t="s">
        <v>35</v>
      </c>
      <c r="E734">
        <v>8</v>
      </c>
      <c r="F734" t="s">
        <v>17</v>
      </c>
      <c r="G734">
        <v>7.76</v>
      </c>
      <c r="H734" t="str" cm="1">
        <f t="array" ref="H734">_xlfn.XLOOKUP(TRIM(C734),_xlfn.ANCHORARRAY($L$5),$M$5:$M$18)</f>
        <v>B. Halal Pro</v>
      </c>
      <c r="I734" t="str">
        <v>Poulet émincé</v>
      </c>
      <c r="J734">
        <f t="shared" si="16"/>
        <v>8</v>
      </c>
    </row>
    <row r="735" spans="1:10" x14ac:dyDescent="0.25">
      <c r="A735" t="s">
        <v>976</v>
      </c>
      <c r="B735" t="s">
        <v>974</v>
      </c>
      <c r="C735" t="s">
        <v>69</v>
      </c>
      <c r="D735" t="s">
        <v>38</v>
      </c>
      <c r="E735">
        <v>10</v>
      </c>
      <c r="F735" t="s">
        <v>39</v>
      </c>
      <c r="G735">
        <v>5.8</v>
      </c>
      <c r="H735" t="str" cm="1">
        <f t="array" ref="H735">_xlfn.XLOOKUP(TRIM(C735),_xlfn.ANCHORARRAY($L$5),$M$5:$M$18)</f>
        <v>Boul. Express</v>
      </c>
      <c r="I735" t="str">
        <v>Pain burger</v>
      </c>
      <c r="J735">
        <f t="shared" si="16"/>
        <v>10</v>
      </c>
    </row>
    <row r="736" spans="1:10" x14ac:dyDescent="0.25">
      <c r="A736" t="s">
        <v>977</v>
      </c>
      <c r="B736" t="s">
        <v>974</v>
      </c>
      <c r="C736" t="s">
        <v>83</v>
      </c>
      <c r="D736" t="s">
        <v>42</v>
      </c>
      <c r="E736">
        <v>8</v>
      </c>
      <c r="F736" t="s">
        <v>43</v>
      </c>
      <c r="G736">
        <v>3.83</v>
      </c>
      <c r="H736" t="str" cm="1">
        <f t="array" ref="H736">_xlfn.XLOOKUP(TRIM(C736),_xlfn.ANCHORARRAY($L$5),$M$5:$M$18)</f>
        <v>Boul. Express</v>
      </c>
      <c r="I736" t="str">
        <v>Pain pita</v>
      </c>
      <c r="J736">
        <f t="shared" si="16"/>
        <v>8</v>
      </c>
    </row>
    <row r="737" spans="1:10" x14ac:dyDescent="0.25">
      <c r="A737" t="s">
        <v>978</v>
      </c>
      <c r="B737" t="s">
        <v>979</v>
      </c>
      <c r="C737" t="s">
        <v>54</v>
      </c>
      <c r="D737" t="s">
        <v>55</v>
      </c>
      <c r="E737">
        <v>10</v>
      </c>
      <c r="F737" t="s">
        <v>17</v>
      </c>
      <c r="G737">
        <v>8.4499999999999993</v>
      </c>
      <c r="H737" t="str" cm="1">
        <f t="array" ref="H737">_xlfn.XLOOKUP(TRIM(C737),_xlfn.ANCHORARRAY($L$5),$M$5:$M$18)</f>
        <v>Fromag. Centrale</v>
      </c>
      <c r="I737" t="str">
        <v>Mozzarella</v>
      </c>
      <c r="J737">
        <f t="shared" si="16"/>
        <v>10</v>
      </c>
    </row>
    <row r="738" spans="1:10" x14ac:dyDescent="0.25">
      <c r="A738" t="s">
        <v>980</v>
      </c>
      <c r="B738" t="s">
        <v>981</v>
      </c>
      <c r="C738" t="s">
        <v>61</v>
      </c>
      <c r="D738" t="s">
        <v>10</v>
      </c>
      <c r="E738">
        <v>4</v>
      </c>
      <c r="F738" t="s">
        <v>11</v>
      </c>
      <c r="G738">
        <v>15.23</v>
      </c>
      <c r="H738" t="str" cm="1">
        <f t="array" ref="H738">_xlfn.XLOOKUP(TRIM(C738),_xlfn.ANCHORARRAY($L$5),$M$5:$M$18)</f>
        <v>Metro</v>
      </c>
      <c r="I738" t="str">
        <v>Coca Cola</v>
      </c>
      <c r="J738">
        <f t="shared" si="16"/>
        <v>4</v>
      </c>
    </row>
    <row r="739" spans="1:10" x14ac:dyDescent="0.25">
      <c r="A739" t="s">
        <v>982</v>
      </c>
      <c r="B739" t="s">
        <v>981</v>
      </c>
      <c r="C739" t="s">
        <v>13</v>
      </c>
      <c r="D739" t="s">
        <v>14</v>
      </c>
      <c r="E739">
        <v>5</v>
      </c>
      <c r="F739" t="s">
        <v>11</v>
      </c>
      <c r="G739">
        <v>13.44</v>
      </c>
      <c r="H739" t="str" cm="1">
        <f t="array" ref="H739">_xlfn.XLOOKUP(TRIM(C739),_xlfn.ANCHORARRAY($L$5),$M$5:$M$18)</f>
        <v>Metro</v>
      </c>
      <c r="I739" t="str">
        <v>7up</v>
      </c>
      <c r="J739">
        <f t="shared" si="16"/>
        <v>5</v>
      </c>
    </row>
    <row r="740" spans="1:10" x14ac:dyDescent="0.25">
      <c r="A740" t="s">
        <v>983</v>
      </c>
      <c r="B740" t="s">
        <v>981</v>
      </c>
      <c r="C740" t="s">
        <v>9</v>
      </c>
      <c r="D740" t="s">
        <v>16</v>
      </c>
      <c r="E740">
        <v>4</v>
      </c>
      <c r="F740" t="s">
        <v>17</v>
      </c>
      <c r="G740">
        <v>1.23</v>
      </c>
      <c r="H740" t="str" cm="1">
        <f t="array" ref="H740">_xlfn.XLOOKUP(TRIM(C740),_xlfn.ANCHORARRAY($L$5),$M$5:$M$18)</f>
        <v>Metro</v>
      </c>
      <c r="I740" t="str">
        <v>Sel</v>
      </c>
      <c r="J740">
        <f t="shared" si="16"/>
        <v>4</v>
      </c>
    </row>
    <row r="741" spans="1:10" x14ac:dyDescent="0.25">
      <c r="A741" t="s">
        <v>984</v>
      </c>
      <c r="B741" t="s">
        <v>981</v>
      </c>
      <c r="C741" t="s">
        <v>23</v>
      </c>
      <c r="D741" t="s">
        <v>20</v>
      </c>
      <c r="E741">
        <v>6</v>
      </c>
      <c r="F741" t="s">
        <v>21</v>
      </c>
      <c r="G741">
        <v>4.18</v>
      </c>
      <c r="H741" t="str" cm="1">
        <f t="array" ref="H741">_xlfn.XLOOKUP(TRIM(C741),_xlfn.ANCHORARRAY($L$5),$M$5:$M$18)</f>
        <v>LEGUMEX</v>
      </c>
      <c r="I741" t="str">
        <v>Tomates pelées</v>
      </c>
      <c r="J741">
        <f t="shared" si="16"/>
        <v>6</v>
      </c>
    </row>
    <row r="742" spans="1:10" x14ac:dyDescent="0.25">
      <c r="A742" t="s">
        <v>985</v>
      </c>
      <c r="B742" t="s">
        <v>981</v>
      </c>
      <c r="C742" t="s">
        <v>46</v>
      </c>
      <c r="D742" t="s">
        <v>24</v>
      </c>
      <c r="E742">
        <v>8</v>
      </c>
      <c r="F742" t="s">
        <v>25</v>
      </c>
      <c r="G742">
        <v>23.21</v>
      </c>
      <c r="H742" t="str" cm="1">
        <f t="array" ref="H742">_xlfn.XLOOKUP(TRIM(C742),_xlfn.ANCHORARRAY($L$5),$M$5:$M$18)</f>
        <v>LEGUMEX</v>
      </c>
      <c r="I742" t="str">
        <v>Huile olive</v>
      </c>
      <c r="J742">
        <f t="shared" si="16"/>
        <v>8</v>
      </c>
    </row>
    <row r="743" spans="1:10" x14ac:dyDescent="0.25">
      <c r="A743" t="s">
        <v>986</v>
      </c>
      <c r="B743" t="s">
        <v>981</v>
      </c>
      <c r="C743" t="s">
        <v>27</v>
      </c>
      <c r="D743" t="s">
        <v>28</v>
      </c>
      <c r="E743">
        <v>8</v>
      </c>
      <c r="F743" t="s">
        <v>29</v>
      </c>
      <c r="G743">
        <v>10.210000000000001</v>
      </c>
      <c r="H743" t="str" cm="1">
        <f t="array" ref="H743">_xlfn.XLOOKUP(TRIM(C743),_xlfn.ANCHORARRAY($L$5),$M$5:$M$18)</f>
        <v>LEGUMEX</v>
      </c>
      <c r="I743" t="str">
        <v>Sauce tomate</v>
      </c>
      <c r="J743">
        <f t="shared" si="16"/>
        <v>8</v>
      </c>
    </row>
    <row r="744" spans="1:10" x14ac:dyDescent="0.25">
      <c r="A744" t="s">
        <v>987</v>
      </c>
      <c r="B744" t="s">
        <v>988</v>
      </c>
      <c r="C744" t="s">
        <v>100</v>
      </c>
      <c r="D744" t="s">
        <v>33</v>
      </c>
      <c r="E744">
        <v>6</v>
      </c>
      <c r="F744" t="s">
        <v>17</v>
      </c>
      <c r="G744">
        <v>9.64</v>
      </c>
      <c r="H744" t="str" cm="1">
        <f t="array" ref="H744">_xlfn.XLOOKUP(TRIM(C744),_xlfn.ANCHORARRAY($L$5),$M$5:$M$18)</f>
        <v>B. Halal Pro</v>
      </c>
      <c r="I744" t="str">
        <v>Viande hachée</v>
      </c>
      <c r="J744">
        <f t="shared" si="16"/>
        <v>6</v>
      </c>
    </row>
    <row r="745" spans="1:10" x14ac:dyDescent="0.25">
      <c r="A745" t="s">
        <v>989</v>
      </c>
      <c r="B745" t="s">
        <v>988</v>
      </c>
      <c r="C745" t="s">
        <v>66</v>
      </c>
      <c r="D745" t="s">
        <v>35</v>
      </c>
      <c r="E745">
        <v>6</v>
      </c>
      <c r="F745" t="s">
        <v>17</v>
      </c>
      <c r="G745">
        <v>7.25</v>
      </c>
      <c r="H745" t="str" cm="1">
        <f t="array" ref="H745">_xlfn.XLOOKUP(TRIM(C745),_xlfn.ANCHORARRAY($L$5),$M$5:$M$18)</f>
        <v>B. Halal Pro</v>
      </c>
      <c r="I745" t="str">
        <v>Poulet émincé</v>
      </c>
      <c r="J745">
        <f t="shared" si="16"/>
        <v>6</v>
      </c>
    </row>
    <row r="746" spans="1:10" x14ac:dyDescent="0.25">
      <c r="A746" t="s">
        <v>990</v>
      </c>
      <c r="B746" t="s">
        <v>988</v>
      </c>
      <c r="C746" t="s">
        <v>41</v>
      </c>
      <c r="D746" t="s">
        <v>38</v>
      </c>
      <c r="F746" t="s">
        <v>39</v>
      </c>
      <c r="G746">
        <v>5.7</v>
      </c>
      <c r="H746" t="str" cm="1">
        <f t="array" ref="H746">_xlfn.XLOOKUP(TRIM(C746),_xlfn.ANCHORARRAY($L$5),$M$5:$M$18)</f>
        <v>Boul. Express</v>
      </c>
      <c r="I746" t="str">
        <v>Pain burger</v>
      </c>
      <c r="J746">
        <f t="shared" si="16"/>
        <v>12</v>
      </c>
    </row>
    <row r="747" spans="1:10" x14ac:dyDescent="0.25">
      <c r="A747" t="s">
        <v>991</v>
      </c>
      <c r="B747" t="s">
        <v>988</v>
      </c>
      <c r="C747" t="s">
        <v>69</v>
      </c>
      <c r="D747" t="s">
        <v>42</v>
      </c>
      <c r="E747">
        <v>8</v>
      </c>
      <c r="F747" t="s">
        <v>43</v>
      </c>
      <c r="G747">
        <v>3.82</v>
      </c>
      <c r="H747" t="str" cm="1">
        <f t="array" ref="H747">_xlfn.XLOOKUP(TRIM(C747),_xlfn.ANCHORARRAY($L$5),$M$5:$M$18)</f>
        <v>Boul. Express</v>
      </c>
      <c r="I747" t="str">
        <v>Pain pita</v>
      </c>
      <c r="J747">
        <f t="shared" si="16"/>
        <v>8</v>
      </c>
    </row>
    <row r="748" spans="1:10" x14ac:dyDescent="0.25">
      <c r="A748" t="s">
        <v>992</v>
      </c>
      <c r="B748" t="s">
        <v>993</v>
      </c>
      <c r="C748" t="s">
        <v>46</v>
      </c>
      <c r="D748" t="s">
        <v>20</v>
      </c>
      <c r="E748">
        <v>8</v>
      </c>
      <c r="F748" t="s">
        <v>21</v>
      </c>
      <c r="G748">
        <v>4.38</v>
      </c>
      <c r="H748" t="str" cm="1">
        <f t="array" ref="H748">_xlfn.XLOOKUP(TRIM(C748),_xlfn.ANCHORARRAY($L$5),$M$5:$M$18)</f>
        <v>LEGUMEX</v>
      </c>
      <c r="I748" t="str">
        <v>Tomates pelées</v>
      </c>
      <c r="J748">
        <f t="shared" si="16"/>
        <v>8</v>
      </c>
    </row>
    <row r="749" spans="1:10" x14ac:dyDescent="0.25">
      <c r="A749" t="s">
        <v>994</v>
      </c>
      <c r="B749" t="s">
        <v>993</v>
      </c>
      <c r="C749" t="s">
        <v>19</v>
      </c>
      <c r="D749" t="s">
        <v>24</v>
      </c>
      <c r="E749">
        <v>6</v>
      </c>
      <c r="F749" t="s">
        <v>25</v>
      </c>
      <c r="G749">
        <v>22.58</v>
      </c>
      <c r="H749" t="str" cm="1">
        <f t="array" ref="H749">_xlfn.XLOOKUP(TRIM(C749),_xlfn.ANCHORARRAY($L$5),$M$5:$M$18)</f>
        <v>LEGUMEX</v>
      </c>
      <c r="I749" t="str">
        <v>Huile olive</v>
      </c>
      <c r="J749">
        <f t="shared" si="16"/>
        <v>6</v>
      </c>
    </row>
    <row r="750" spans="1:10" x14ac:dyDescent="0.25">
      <c r="A750" t="s">
        <v>995</v>
      </c>
      <c r="B750" t="s">
        <v>993</v>
      </c>
      <c r="C750" t="s">
        <v>46</v>
      </c>
      <c r="D750" t="s">
        <v>28</v>
      </c>
      <c r="E750">
        <v>8</v>
      </c>
      <c r="F750" t="s">
        <v>29</v>
      </c>
      <c r="G750">
        <v>10.53</v>
      </c>
      <c r="H750" t="str" cm="1">
        <f t="array" ref="H750">_xlfn.XLOOKUP(TRIM(C750),_xlfn.ANCHORARRAY($L$5),$M$5:$M$18)</f>
        <v>LEGUMEX</v>
      </c>
      <c r="I750" t="str">
        <v>Sauce tomate</v>
      </c>
      <c r="J750">
        <f t="shared" si="16"/>
        <v>8</v>
      </c>
    </row>
    <row r="751" spans="1:10" x14ac:dyDescent="0.25">
      <c r="A751" t="s">
        <v>996</v>
      </c>
      <c r="B751" t="s">
        <v>993</v>
      </c>
      <c r="C751" t="s">
        <v>50</v>
      </c>
      <c r="D751" t="s">
        <v>51</v>
      </c>
      <c r="E751">
        <v>3</v>
      </c>
      <c r="F751" t="s">
        <v>52</v>
      </c>
      <c r="G751">
        <v>18.739999999999998</v>
      </c>
      <c r="H751" t="str" cm="1">
        <f t="array" ref="H751">_xlfn.XLOOKUP(TRIM(C751),_xlfn.ANCHORARRAY($L$5),$M$5:$M$18)</f>
        <v>Moulin du Nord</v>
      </c>
      <c r="I751" t="str">
        <v>Farine</v>
      </c>
      <c r="J751">
        <f t="shared" si="16"/>
        <v>3</v>
      </c>
    </row>
    <row r="752" spans="1:10" x14ac:dyDescent="0.25">
      <c r="A752" t="s">
        <v>997</v>
      </c>
      <c r="B752" t="s">
        <v>993</v>
      </c>
      <c r="C752" t="s">
        <v>92</v>
      </c>
      <c r="D752" t="s">
        <v>55</v>
      </c>
      <c r="E752">
        <v>10</v>
      </c>
      <c r="F752" t="s">
        <v>17</v>
      </c>
      <c r="G752">
        <v>9.76</v>
      </c>
      <c r="H752" t="str" cm="1">
        <f t="array" ref="H752">_xlfn.XLOOKUP(TRIM(C752),_xlfn.ANCHORARRAY($L$5),$M$5:$M$18)</f>
        <v>Fromag. Centrale</v>
      </c>
      <c r="I752" t="str">
        <v>Mozzarella</v>
      </c>
      <c r="J752">
        <f t="shared" si="16"/>
        <v>10</v>
      </c>
    </row>
    <row r="753" spans="1:10" x14ac:dyDescent="0.25">
      <c r="A753" t="s">
        <v>998</v>
      </c>
      <c r="B753" t="s">
        <v>999</v>
      </c>
      <c r="C753" t="s">
        <v>59</v>
      </c>
      <c r="D753" t="s">
        <v>10</v>
      </c>
      <c r="E753">
        <v>5</v>
      </c>
      <c r="F753" t="s">
        <v>11</v>
      </c>
      <c r="G753">
        <v>14.19</v>
      </c>
      <c r="H753" t="str" cm="1">
        <f t="array" ref="H753">_xlfn.XLOOKUP(TRIM(C753),_xlfn.ANCHORARRAY($L$5),$M$5:$M$18)</f>
        <v>Metro</v>
      </c>
      <c r="I753" t="str">
        <v>Coca Cola</v>
      </c>
      <c r="J753">
        <f t="shared" si="16"/>
        <v>5</v>
      </c>
    </row>
    <row r="754" spans="1:10" x14ac:dyDescent="0.25">
      <c r="A754" t="s">
        <v>1000</v>
      </c>
      <c r="B754" t="s">
        <v>999</v>
      </c>
      <c r="C754" t="s">
        <v>61</v>
      </c>
      <c r="D754" t="s">
        <v>14</v>
      </c>
      <c r="E754">
        <v>5</v>
      </c>
      <c r="F754" t="s">
        <v>11</v>
      </c>
      <c r="G754">
        <v>13.07</v>
      </c>
      <c r="H754" t="str" cm="1">
        <f t="array" ref="H754">_xlfn.XLOOKUP(TRIM(C754),_xlfn.ANCHORARRAY($L$5),$M$5:$M$18)</f>
        <v>Metro</v>
      </c>
      <c r="I754" t="str">
        <v>7up</v>
      </c>
      <c r="J754">
        <f t="shared" si="16"/>
        <v>5</v>
      </c>
    </row>
    <row r="755" spans="1:10" x14ac:dyDescent="0.25">
      <c r="A755" t="s">
        <v>1001</v>
      </c>
      <c r="B755" t="s">
        <v>999</v>
      </c>
      <c r="C755" t="s">
        <v>13</v>
      </c>
      <c r="D755" t="s">
        <v>16</v>
      </c>
      <c r="E755">
        <v>6</v>
      </c>
      <c r="F755" t="s">
        <v>17</v>
      </c>
      <c r="G755">
        <v>1.2</v>
      </c>
      <c r="H755" t="str" cm="1">
        <f t="array" ref="H755">_xlfn.XLOOKUP(TRIM(C755),_xlfn.ANCHORARRAY($L$5),$M$5:$M$18)</f>
        <v>Metro</v>
      </c>
      <c r="I755" t="str">
        <v>Sel</v>
      </c>
      <c r="J755">
        <f t="shared" si="16"/>
        <v>6</v>
      </c>
    </row>
    <row r="756" spans="1:10" x14ac:dyDescent="0.25">
      <c r="A756" t="s">
        <v>1002</v>
      </c>
      <c r="B756" t="s">
        <v>1003</v>
      </c>
      <c r="C756" t="s">
        <v>100</v>
      </c>
      <c r="D756" t="s">
        <v>33</v>
      </c>
      <c r="E756">
        <v>5</v>
      </c>
      <c r="F756" t="s">
        <v>17</v>
      </c>
      <c r="G756">
        <v>8.77</v>
      </c>
      <c r="H756" t="str" cm="1">
        <f t="array" ref="H756">_xlfn.XLOOKUP(TRIM(C756),_xlfn.ANCHORARRAY($L$5),$M$5:$M$18)</f>
        <v>B. Halal Pro</v>
      </c>
      <c r="I756" t="str">
        <v>Viande hachée</v>
      </c>
      <c r="J756">
        <f t="shared" si="16"/>
        <v>5</v>
      </c>
    </row>
    <row r="757" spans="1:10" x14ac:dyDescent="0.25">
      <c r="A757" t="s">
        <v>1004</v>
      </c>
      <c r="B757" t="s">
        <v>1003</v>
      </c>
      <c r="C757" t="s">
        <v>66</v>
      </c>
      <c r="D757" t="s">
        <v>35</v>
      </c>
      <c r="F757" t="s">
        <v>17</v>
      </c>
      <c r="G757">
        <v>7.6</v>
      </c>
      <c r="H757" t="str" cm="1">
        <f t="array" ref="H757">_xlfn.XLOOKUP(TRIM(C757),_xlfn.ANCHORARRAY($L$5),$M$5:$M$18)</f>
        <v>B. Halal Pro</v>
      </c>
      <c r="I757" t="str">
        <v>Poulet émincé</v>
      </c>
      <c r="J757">
        <f t="shared" si="16"/>
        <v>6</v>
      </c>
    </row>
    <row r="758" spans="1:10" x14ac:dyDescent="0.25">
      <c r="A758" t="s">
        <v>1005</v>
      </c>
      <c r="B758" t="s">
        <v>1003</v>
      </c>
      <c r="C758" t="s">
        <v>37</v>
      </c>
      <c r="D758" t="s">
        <v>38</v>
      </c>
      <c r="E758">
        <v>8</v>
      </c>
      <c r="F758" t="s">
        <v>39</v>
      </c>
      <c r="G758">
        <v>6</v>
      </c>
      <c r="H758" t="str" cm="1">
        <f t="array" ref="H758">_xlfn.XLOOKUP(TRIM(C758),_xlfn.ANCHORARRAY($L$5),$M$5:$M$18)</f>
        <v>Boul. Express</v>
      </c>
      <c r="I758" t="str">
        <v>Pain burger</v>
      </c>
      <c r="J758">
        <f t="shared" si="16"/>
        <v>8</v>
      </c>
    </row>
    <row r="759" spans="1:10" x14ac:dyDescent="0.25">
      <c r="A759" t="s">
        <v>1006</v>
      </c>
      <c r="B759" t="s">
        <v>1003</v>
      </c>
      <c r="C759" t="s">
        <v>41</v>
      </c>
      <c r="D759" t="s">
        <v>42</v>
      </c>
      <c r="E759">
        <v>8</v>
      </c>
      <c r="F759" t="s">
        <v>43</v>
      </c>
      <c r="G759">
        <v>4.04</v>
      </c>
      <c r="H759" t="str" cm="1">
        <f t="array" ref="H759">_xlfn.XLOOKUP(TRIM(C759),_xlfn.ANCHORARRAY($L$5),$M$5:$M$18)</f>
        <v>Boul. Express</v>
      </c>
      <c r="I759" t="str">
        <v>Pain pita</v>
      </c>
      <c r="J759">
        <f t="shared" si="16"/>
        <v>8</v>
      </c>
    </row>
    <row r="760" spans="1:10" x14ac:dyDescent="0.25">
      <c r="A760" t="s">
        <v>1007</v>
      </c>
      <c r="B760" t="s">
        <v>1008</v>
      </c>
      <c r="C760" t="s">
        <v>154</v>
      </c>
      <c r="D760" t="s">
        <v>55</v>
      </c>
      <c r="E760">
        <v>8</v>
      </c>
      <c r="F760" t="s">
        <v>17</v>
      </c>
      <c r="G760">
        <v>8.6999999999999993</v>
      </c>
      <c r="H760" t="str" cm="1">
        <f t="array" ref="H760">_xlfn.XLOOKUP(TRIM(C760),_xlfn.ANCHORARRAY($L$5),$M$5:$M$18)</f>
        <v>Fromag. Centrale</v>
      </c>
      <c r="I760" t="str">
        <v>Mozzarella</v>
      </c>
      <c r="J760">
        <f t="shared" si="16"/>
        <v>8</v>
      </c>
    </row>
    <row r="761" spans="1:10" x14ac:dyDescent="0.25">
      <c r="A761" t="s">
        <v>1009</v>
      </c>
      <c r="B761" t="s">
        <v>1010</v>
      </c>
      <c r="C761" t="s">
        <v>9</v>
      </c>
      <c r="D761" t="s">
        <v>10</v>
      </c>
      <c r="E761">
        <v>5</v>
      </c>
      <c r="F761" t="s">
        <v>11</v>
      </c>
      <c r="G761">
        <v>14.55</v>
      </c>
      <c r="H761" t="str" cm="1">
        <f t="array" ref="H761">_xlfn.XLOOKUP(TRIM(C761),_xlfn.ANCHORARRAY($L$5),$M$5:$M$18)</f>
        <v>Metro</v>
      </c>
      <c r="I761" t="str">
        <v>Coca Cola</v>
      </c>
      <c r="J761">
        <f t="shared" si="16"/>
        <v>5</v>
      </c>
    </row>
    <row r="762" spans="1:10" x14ac:dyDescent="0.25">
      <c r="A762" t="s">
        <v>1011</v>
      </c>
      <c r="B762" t="s">
        <v>1010</v>
      </c>
      <c r="C762" t="s">
        <v>13</v>
      </c>
      <c r="D762" t="s">
        <v>14</v>
      </c>
      <c r="E762">
        <v>3</v>
      </c>
      <c r="F762" t="s">
        <v>11</v>
      </c>
      <c r="G762">
        <v>13.22</v>
      </c>
      <c r="H762" t="str" cm="1">
        <f t="array" ref="H762">_xlfn.XLOOKUP(TRIM(C762),_xlfn.ANCHORARRAY($L$5),$M$5:$M$18)</f>
        <v>Metro</v>
      </c>
      <c r="I762" t="str">
        <v>7up</v>
      </c>
      <c r="J762">
        <f t="shared" si="16"/>
        <v>3</v>
      </c>
    </row>
    <row r="763" spans="1:10" x14ac:dyDescent="0.25">
      <c r="A763" t="s">
        <v>1012</v>
      </c>
      <c r="B763" t="s">
        <v>1010</v>
      </c>
      <c r="C763" t="s">
        <v>9</v>
      </c>
      <c r="D763" t="s">
        <v>16</v>
      </c>
      <c r="E763">
        <v>3</v>
      </c>
      <c r="F763" t="s">
        <v>17</v>
      </c>
      <c r="G763">
        <v>1.21</v>
      </c>
      <c r="H763" t="str" cm="1">
        <f t="array" ref="H763">_xlfn.XLOOKUP(TRIM(C763),_xlfn.ANCHORARRAY($L$5),$M$5:$M$18)</f>
        <v>Metro</v>
      </c>
      <c r="I763" t="str">
        <v>Sel</v>
      </c>
      <c r="J763">
        <f t="shared" si="16"/>
        <v>3</v>
      </c>
    </row>
    <row r="764" spans="1:10" x14ac:dyDescent="0.25">
      <c r="A764" t="s">
        <v>1013</v>
      </c>
      <c r="B764" t="s">
        <v>1010</v>
      </c>
      <c r="C764" t="s">
        <v>19</v>
      </c>
      <c r="D764" t="s">
        <v>20</v>
      </c>
      <c r="E764">
        <v>10</v>
      </c>
      <c r="F764" t="s">
        <v>21</v>
      </c>
      <c r="G764">
        <v>4.47</v>
      </c>
      <c r="H764" t="str" cm="1">
        <f t="array" ref="H764">_xlfn.XLOOKUP(TRIM(C764),_xlfn.ANCHORARRAY($L$5),$M$5:$M$18)</f>
        <v>LEGUMEX</v>
      </c>
      <c r="I764" t="str">
        <v>Tomates pelées</v>
      </c>
      <c r="J764">
        <f t="shared" si="16"/>
        <v>10</v>
      </c>
    </row>
    <row r="765" spans="1:10" x14ac:dyDescent="0.25">
      <c r="A765" t="s">
        <v>1014</v>
      </c>
      <c r="B765" t="s">
        <v>1010</v>
      </c>
      <c r="C765" t="s">
        <v>46</v>
      </c>
      <c r="D765" t="s">
        <v>24</v>
      </c>
      <c r="E765">
        <v>4</v>
      </c>
      <c r="F765" t="s">
        <v>25</v>
      </c>
      <c r="G765">
        <v>22.46</v>
      </c>
      <c r="H765" t="str" cm="1">
        <f t="array" ref="H765">_xlfn.XLOOKUP(TRIM(C765),_xlfn.ANCHORARRAY($L$5),$M$5:$M$18)</f>
        <v>LEGUMEX</v>
      </c>
      <c r="I765" t="str">
        <v>Huile olive</v>
      </c>
      <c r="J765">
        <f t="shared" si="16"/>
        <v>4</v>
      </c>
    </row>
    <row r="766" spans="1:10" x14ac:dyDescent="0.25">
      <c r="A766" t="s">
        <v>1015</v>
      </c>
      <c r="B766" t="s">
        <v>1010</v>
      </c>
      <c r="C766" t="s">
        <v>19</v>
      </c>
      <c r="D766" t="s">
        <v>28</v>
      </c>
      <c r="E766">
        <v>4</v>
      </c>
      <c r="F766" t="s">
        <v>29</v>
      </c>
      <c r="G766">
        <v>9.52</v>
      </c>
      <c r="H766" t="str" cm="1">
        <f t="array" ref="H766">_xlfn.XLOOKUP(TRIM(C766),_xlfn.ANCHORARRAY($L$5),$M$5:$M$18)</f>
        <v>LEGUMEX</v>
      </c>
      <c r="I766" t="str">
        <v>Sauce tomate</v>
      </c>
      <c r="J766">
        <f t="shared" si="16"/>
        <v>4</v>
      </c>
    </row>
    <row r="767" spans="1:10" x14ac:dyDescent="0.25">
      <c r="A767" t="s">
        <v>1016</v>
      </c>
      <c r="B767" t="s">
        <v>1017</v>
      </c>
      <c r="C767" t="s">
        <v>64</v>
      </c>
      <c r="D767" t="s">
        <v>33</v>
      </c>
      <c r="E767">
        <v>8</v>
      </c>
      <c r="F767" t="s">
        <v>17</v>
      </c>
      <c r="G767">
        <v>9.0299999999999994</v>
      </c>
      <c r="H767" t="str" cm="1">
        <f t="array" ref="H767">_xlfn.XLOOKUP(TRIM(C767),_xlfn.ANCHORARRAY($L$5),$M$5:$M$18)</f>
        <v>B. Halal Pro</v>
      </c>
      <c r="I767" t="str">
        <v>Viande hachée</v>
      </c>
      <c r="J767">
        <f t="shared" si="16"/>
        <v>8</v>
      </c>
    </row>
    <row r="768" spans="1:10" x14ac:dyDescent="0.25">
      <c r="A768" t="s">
        <v>1018</v>
      </c>
      <c r="B768" t="s">
        <v>1017</v>
      </c>
      <c r="C768" t="s">
        <v>64</v>
      </c>
      <c r="D768" t="s">
        <v>35</v>
      </c>
      <c r="E768">
        <v>6</v>
      </c>
      <c r="F768" t="s">
        <v>17</v>
      </c>
      <c r="G768">
        <v>6.71</v>
      </c>
      <c r="H768" t="str" cm="1">
        <f t="array" ref="H768">_xlfn.XLOOKUP(TRIM(C768),_xlfn.ANCHORARRAY($L$5),$M$5:$M$18)</f>
        <v>B. Halal Pro</v>
      </c>
      <c r="I768" t="str">
        <v>Poulet émincé</v>
      </c>
      <c r="J768">
        <f t="shared" si="16"/>
        <v>6</v>
      </c>
    </row>
    <row r="769" spans="1:10" x14ac:dyDescent="0.25">
      <c r="A769" t="s">
        <v>1019</v>
      </c>
      <c r="B769" t="s">
        <v>1017</v>
      </c>
      <c r="C769" t="s">
        <v>83</v>
      </c>
      <c r="D769" t="s">
        <v>38</v>
      </c>
      <c r="E769">
        <v>5</v>
      </c>
      <c r="F769" t="s">
        <v>39</v>
      </c>
      <c r="G769">
        <v>5.94</v>
      </c>
      <c r="H769" t="str" cm="1">
        <f t="array" ref="H769">_xlfn.XLOOKUP(TRIM(C769),_xlfn.ANCHORARRAY($L$5),$M$5:$M$18)</f>
        <v>Boul. Express</v>
      </c>
      <c r="I769" t="str">
        <v>Pain burger</v>
      </c>
      <c r="J769">
        <f t="shared" si="16"/>
        <v>5</v>
      </c>
    </row>
    <row r="770" spans="1:10" x14ac:dyDescent="0.25">
      <c r="A770" t="s">
        <v>1020</v>
      </c>
      <c r="B770" t="s">
        <v>1017</v>
      </c>
      <c r="C770" t="s">
        <v>69</v>
      </c>
      <c r="D770" t="s">
        <v>42</v>
      </c>
      <c r="E770">
        <v>12</v>
      </c>
      <c r="F770" t="s">
        <v>43</v>
      </c>
      <c r="G770">
        <v>3.99</v>
      </c>
      <c r="H770" t="str" cm="1">
        <f t="array" ref="H770">_xlfn.XLOOKUP(TRIM(C770),_xlfn.ANCHORARRAY($L$5),$M$5:$M$18)</f>
        <v>Boul. Express</v>
      </c>
      <c r="I770" t="str">
        <v>Pain pita</v>
      </c>
      <c r="J770">
        <f t="shared" ref="J770:J833" si="17">IF(E770&lt;&gt;0,E770,_xlfn.XLOOKUP(I770,$Q$5:$Q$16,$Y$5:$Y$16))</f>
        <v>12</v>
      </c>
    </row>
    <row r="771" spans="1:10" x14ac:dyDescent="0.25">
      <c r="A771" t="s">
        <v>1021</v>
      </c>
      <c r="B771" t="s">
        <v>1022</v>
      </c>
      <c r="C771" t="s">
        <v>19</v>
      </c>
      <c r="D771" t="s">
        <v>20</v>
      </c>
      <c r="E771">
        <v>10</v>
      </c>
      <c r="F771" t="s">
        <v>21</v>
      </c>
      <c r="G771">
        <v>4.32</v>
      </c>
      <c r="H771" t="str" cm="1">
        <f t="array" ref="H771">_xlfn.XLOOKUP(TRIM(C771),_xlfn.ANCHORARRAY($L$5),$M$5:$M$18)</f>
        <v>LEGUMEX</v>
      </c>
      <c r="I771" t="str">
        <v>Tomates pelées</v>
      </c>
      <c r="J771">
        <f t="shared" si="17"/>
        <v>10</v>
      </c>
    </row>
    <row r="772" spans="1:10" x14ac:dyDescent="0.25">
      <c r="A772" t="s">
        <v>1023</v>
      </c>
      <c r="B772" t="s">
        <v>1022</v>
      </c>
      <c r="C772" t="s">
        <v>27</v>
      </c>
      <c r="D772" t="s">
        <v>24</v>
      </c>
      <c r="E772">
        <v>6</v>
      </c>
      <c r="F772" t="s">
        <v>25</v>
      </c>
      <c r="G772">
        <v>21.85</v>
      </c>
      <c r="H772" t="str" cm="1">
        <f t="array" ref="H772">_xlfn.XLOOKUP(TRIM(C772),_xlfn.ANCHORARRAY($L$5),$M$5:$M$18)</f>
        <v>LEGUMEX</v>
      </c>
      <c r="I772" t="str">
        <v>Huile olive</v>
      </c>
      <c r="J772">
        <f t="shared" si="17"/>
        <v>6</v>
      </c>
    </row>
    <row r="773" spans="1:10" x14ac:dyDescent="0.25">
      <c r="A773" t="s">
        <v>1024</v>
      </c>
      <c r="B773" t="s">
        <v>1022</v>
      </c>
      <c r="C773" t="s">
        <v>46</v>
      </c>
      <c r="D773" t="s">
        <v>28</v>
      </c>
      <c r="E773">
        <v>8</v>
      </c>
      <c r="F773" t="s">
        <v>29</v>
      </c>
      <c r="G773">
        <v>10.15</v>
      </c>
      <c r="H773" t="str" cm="1">
        <f t="array" ref="H773">_xlfn.XLOOKUP(TRIM(C773),_xlfn.ANCHORARRAY($L$5),$M$5:$M$18)</f>
        <v>LEGUMEX</v>
      </c>
      <c r="I773" t="str">
        <v>Sauce tomate</v>
      </c>
      <c r="J773">
        <f t="shared" si="17"/>
        <v>8</v>
      </c>
    </row>
    <row r="774" spans="1:10" x14ac:dyDescent="0.25">
      <c r="A774" t="s">
        <v>1025</v>
      </c>
      <c r="B774" t="s">
        <v>1022</v>
      </c>
      <c r="C774" t="s">
        <v>90</v>
      </c>
      <c r="D774" t="s">
        <v>51</v>
      </c>
      <c r="E774">
        <v>4</v>
      </c>
      <c r="F774" t="s">
        <v>52</v>
      </c>
      <c r="G774">
        <v>18.41</v>
      </c>
      <c r="H774" t="str" cm="1">
        <f t="array" ref="H774">_xlfn.XLOOKUP(TRIM(C774),_xlfn.ANCHORARRAY($L$5),$M$5:$M$18)</f>
        <v>Moulin du Nord</v>
      </c>
      <c r="I774" t="str">
        <v>Farine</v>
      </c>
      <c r="J774">
        <f t="shared" si="17"/>
        <v>4</v>
      </c>
    </row>
    <row r="775" spans="1:10" x14ac:dyDescent="0.25">
      <c r="A775" t="s">
        <v>1026</v>
      </c>
      <c r="B775" t="s">
        <v>1022</v>
      </c>
      <c r="C775" t="s">
        <v>92</v>
      </c>
      <c r="D775" t="s">
        <v>55</v>
      </c>
      <c r="E775">
        <v>4</v>
      </c>
      <c r="F775" t="s">
        <v>17</v>
      </c>
      <c r="G775">
        <v>8.44</v>
      </c>
      <c r="H775" t="str" cm="1">
        <f t="array" ref="H775">_xlfn.XLOOKUP(TRIM(C775),_xlfn.ANCHORARRAY($L$5),$M$5:$M$18)</f>
        <v>Fromag. Centrale</v>
      </c>
      <c r="I775" t="str">
        <v>Mozzarella</v>
      </c>
      <c r="J775">
        <f t="shared" si="17"/>
        <v>4</v>
      </c>
    </row>
    <row r="776" spans="1:10" x14ac:dyDescent="0.25">
      <c r="A776" t="s">
        <v>1027</v>
      </c>
      <c r="B776" t="s">
        <v>1028</v>
      </c>
      <c r="C776" t="s">
        <v>97</v>
      </c>
      <c r="D776" t="s">
        <v>10</v>
      </c>
      <c r="F776" t="s">
        <v>11</v>
      </c>
      <c r="G776">
        <v>14.23</v>
      </c>
      <c r="H776" t="str" cm="1">
        <f t="array" ref="H776">_xlfn.XLOOKUP(TRIM(C776),_xlfn.ANCHORARRAY($L$5),$M$5:$M$18)</f>
        <v>Metro</v>
      </c>
      <c r="I776" t="str">
        <v>Coca Cola</v>
      </c>
      <c r="J776">
        <f t="shared" si="17"/>
        <v>6</v>
      </c>
    </row>
    <row r="777" spans="1:10" x14ac:dyDescent="0.25">
      <c r="A777" t="s">
        <v>1029</v>
      </c>
      <c r="B777" t="s">
        <v>1028</v>
      </c>
      <c r="C777" t="s">
        <v>13</v>
      </c>
      <c r="D777" t="s">
        <v>14</v>
      </c>
      <c r="E777">
        <v>5</v>
      </c>
      <c r="F777" t="s">
        <v>11</v>
      </c>
      <c r="G777">
        <v>13.96</v>
      </c>
      <c r="H777" t="str" cm="1">
        <f t="array" ref="H777">_xlfn.XLOOKUP(TRIM(C777),_xlfn.ANCHORARRAY($L$5),$M$5:$M$18)</f>
        <v>Metro</v>
      </c>
      <c r="I777" t="str">
        <v>7up</v>
      </c>
      <c r="J777">
        <f t="shared" si="17"/>
        <v>5</v>
      </c>
    </row>
    <row r="778" spans="1:10" x14ac:dyDescent="0.25">
      <c r="A778" t="s">
        <v>1030</v>
      </c>
      <c r="B778" t="s">
        <v>1028</v>
      </c>
      <c r="C778" t="s">
        <v>9</v>
      </c>
      <c r="D778" t="s">
        <v>16</v>
      </c>
      <c r="E778">
        <v>5</v>
      </c>
      <c r="F778" t="s">
        <v>17</v>
      </c>
      <c r="G778">
        <v>1.25</v>
      </c>
      <c r="H778" t="str" cm="1">
        <f t="array" ref="H778">_xlfn.XLOOKUP(TRIM(C778),_xlfn.ANCHORARRAY($L$5),$M$5:$M$18)</f>
        <v>Metro</v>
      </c>
      <c r="I778" t="str">
        <v>Sel</v>
      </c>
      <c r="J778">
        <f t="shared" si="17"/>
        <v>5</v>
      </c>
    </row>
    <row r="779" spans="1:10" x14ac:dyDescent="0.25">
      <c r="A779" t="s">
        <v>1031</v>
      </c>
      <c r="B779" t="s">
        <v>1032</v>
      </c>
      <c r="C779" t="s">
        <v>32</v>
      </c>
      <c r="D779" t="s">
        <v>33</v>
      </c>
      <c r="E779">
        <v>12</v>
      </c>
      <c r="F779" t="s">
        <v>17</v>
      </c>
      <c r="G779">
        <v>8.57</v>
      </c>
      <c r="H779" t="str" cm="1">
        <f t="array" ref="H779">_xlfn.XLOOKUP(TRIM(C779),_xlfn.ANCHORARRAY($L$5),$M$5:$M$18)</f>
        <v>B. Halal Pro</v>
      </c>
      <c r="I779" t="str">
        <v>Viande hachée</v>
      </c>
      <c r="J779">
        <f t="shared" si="17"/>
        <v>12</v>
      </c>
    </row>
    <row r="780" spans="1:10" x14ac:dyDescent="0.25">
      <c r="A780" t="s">
        <v>1033</v>
      </c>
      <c r="B780" t="s">
        <v>1032</v>
      </c>
      <c r="C780" t="s">
        <v>32</v>
      </c>
      <c r="D780" t="s">
        <v>35</v>
      </c>
      <c r="E780">
        <v>8</v>
      </c>
      <c r="F780" t="s">
        <v>17</v>
      </c>
      <c r="G780">
        <v>7.64</v>
      </c>
      <c r="H780" t="str" cm="1">
        <f t="array" ref="H780">_xlfn.XLOOKUP(TRIM(C780),_xlfn.ANCHORARRAY($L$5),$M$5:$M$18)</f>
        <v>B. Halal Pro</v>
      </c>
      <c r="I780" t="str">
        <v>Poulet émincé</v>
      </c>
      <c r="J780">
        <f t="shared" si="17"/>
        <v>8</v>
      </c>
    </row>
    <row r="781" spans="1:10" x14ac:dyDescent="0.25">
      <c r="A781" t="s">
        <v>1034</v>
      </c>
      <c r="B781" t="s">
        <v>1032</v>
      </c>
      <c r="C781" t="s">
        <v>41</v>
      </c>
      <c r="D781" t="s">
        <v>38</v>
      </c>
      <c r="E781">
        <v>12</v>
      </c>
      <c r="F781" t="s">
        <v>39</v>
      </c>
      <c r="G781">
        <v>5.78</v>
      </c>
      <c r="H781" t="str" cm="1">
        <f t="array" ref="H781">_xlfn.XLOOKUP(TRIM(C781),_xlfn.ANCHORARRAY($L$5),$M$5:$M$18)</f>
        <v>Boul. Express</v>
      </c>
      <c r="I781" t="str">
        <v>Pain burger</v>
      </c>
      <c r="J781">
        <f t="shared" si="17"/>
        <v>12</v>
      </c>
    </row>
    <row r="782" spans="1:10" x14ac:dyDescent="0.25">
      <c r="A782" t="s">
        <v>1035</v>
      </c>
      <c r="B782" t="s">
        <v>1032</v>
      </c>
      <c r="C782" t="s">
        <v>37</v>
      </c>
      <c r="D782" t="s">
        <v>42</v>
      </c>
      <c r="E782">
        <v>8</v>
      </c>
      <c r="F782" t="s">
        <v>43</v>
      </c>
      <c r="G782">
        <v>3.95</v>
      </c>
      <c r="H782" t="str" cm="1">
        <f t="array" ref="H782">_xlfn.XLOOKUP(TRIM(C782),_xlfn.ANCHORARRAY($L$5),$M$5:$M$18)</f>
        <v>Boul. Express</v>
      </c>
      <c r="I782" t="str">
        <v>Pain pita</v>
      </c>
      <c r="J782">
        <f t="shared" si="17"/>
        <v>8</v>
      </c>
    </row>
    <row r="783" spans="1:10" x14ac:dyDescent="0.25">
      <c r="A783" t="s">
        <v>1036</v>
      </c>
      <c r="B783" t="s">
        <v>1037</v>
      </c>
      <c r="C783" t="s">
        <v>154</v>
      </c>
      <c r="D783" t="s">
        <v>55</v>
      </c>
      <c r="E783">
        <v>8</v>
      </c>
      <c r="F783" t="s">
        <v>17</v>
      </c>
      <c r="G783">
        <v>8.49</v>
      </c>
      <c r="H783" t="str" cm="1">
        <f t="array" ref="H783">_xlfn.XLOOKUP(TRIM(C783),_xlfn.ANCHORARRAY($L$5),$M$5:$M$18)</f>
        <v>Fromag. Centrale</v>
      </c>
      <c r="I783" t="str">
        <v>Mozzarella</v>
      </c>
      <c r="J783">
        <f t="shared" si="17"/>
        <v>8</v>
      </c>
    </row>
    <row r="784" spans="1:10" x14ac:dyDescent="0.25">
      <c r="A784" t="s">
        <v>1038</v>
      </c>
      <c r="B784" t="s">
        <v>1039</v>
      </c>
      <c r="C784" t="s">
        <v>59</v>
      </c>
      <c r="D784" t="s">
        <v>10</v>
      </c>
      <c r="E784">
        <v>4</v>
      </c>
      <c r="F784" t="s">
        <v>11</v>
      </c>
      <c r="G784">
        <v>14.69</v>
      </c>
      <c r="H784" t="str" cm="1">
        <f t="array" ref="H784">_xlfn.XLOOKUP(TRIM(C784),_xlfn.ANCHORARRAY($L$5),$M$5:$M$18)</f>
        <v>Metro</v>
      </c>
      <c r="I784" t="str">
        <v>Coca Cola</v>
      </c>
      <c r="J784">
        <f t="shared" si="17"/>
        <v>4</v>
      </c>
    </row>
    <row r="785" spans="1:10" x14ac:dyDescent="0.25">
      <c r="A785" t="s">
        <v>1040</v>
      </c>
      <c r="B785" t="s">
        <v>1039</v>
      </c>
      <c r="C785" t="s">
        <v>61</v>
      </c>
      <c r="D785" t="s">
        <v>14</v>
      </c>
      <c r="E785">
        <v>6</v>
      </c>
      <c r="F785" t="s">
        <v>11</v>
      </c>
      <c r="G785">
        <v>13.95</v>
      </c>
      <c r="H785" t="str" cm="1">
        <f t="array" ref="H785">_xlfn.XLOOKUP(TRIM(C785),_xlfn.ANCHORARRAY($L$5),$M$5:$M$18)</f>
        <v>Metro</v>
      </c>
      <c r="I785" t="str">
        <v>7up</v>
      </c>
      <c r="J785">
        <f t="shared" si="17"/>
        <v>6</v>
      </c>
    </row>
    <row r="786" spans="1:10" x14ac:dyDescent="0.25">
      <c r="A786" t="s">
        <v>1041</v>
      </c>
      <c r="B786" t="s">
        <v>1039</v>
      </c>
      <c r="C786" t="s">
        <v>59</v>
      </c>
      <c r="D786" t="s">
        <v>16</v>
      </c>
      <c r="E786">
        <v>4</v>
      </c>
      <c r="F786" t="s">
        <v>17</v>
      </c>
      <c r="G786">
        <v>1.22</v>
      </c>
      <c r="H786" t="str" cm="1">
        <f t="array" ref="H786">_xlfn.XLOOKUP(TRIM(C786),_xlfn.ANCHORARRAY($L$5),$M$5:$M$18)</f>
        <v>Metro</v>
      </c>
      <c r="I786" t="str">
        <v>Sel</v>
      </c>
      <c r="J786">
        <f t="shared" si="17"/>
        <v>4</v>
      </c>
    </row>
    <row r="787" spans="1:10" x14ac:dyDescent="0.25">
      <c r="A787" t="s">
        <v>1042</v>
      </c>
      <c r="B787" t="s">
        <v>1039</v>
      </c>
      <c r="C787" t="s">
        <v>27</v>
      </c>
      <c r="D787" t="s">
        <v>20</v>
      </c>
      <c r="E787">
        <v>6</v>
      </c>
      <c r="F787" t="s">
        <v>21</v>
      </c>
      <c r="G787">
        <v>4.26</v>
      </c>
      <c r="H787" t="str" cm="1">
        <f t="array" ref="H787">_xlfn.XLOOKUP(TRIM(C787),_xlfn.ANCHORARRAY($L$5),$M$5:$M$18)</f>
        <v>LEGUMEX</v>
      </c>
      <c r="I787" t="str">
        <v>Tomates pelées</v>
      </c>
      <c r="J787">
        <f t="shared" si="17"/>
        <v>6</v>
      </c>
    </row>
    <row r="788" spans="1:10" x14ac:dyDescent="0.25">
      <c r="A788" t="s">
        <v>1043</v>
      </c>
      <c r="B788" t="s">
        <v>1039</v>
      </c>
      <c r="C788" t="s">
        <v>23</v>
      </c>
      <c r="D788" t="s">
        <v>24</v>
      </c>
      <c r="E788">
        <v>6</v>
      </c>
      <c r="F788" t="s">
        <v>25</v>
      </c>
      <c r="G788">
        <v>21.39</v>
      </c>
      <c r="H788" t="str" cm="1">
        <f t="array" ref="H788">_xlfn.XLOOKUP(TRIM(C788),_xlfn.ANCHORARRAY($L$5),$M$5:$M$18)</f>
        <v>LEGUMEX</v>
      </c>
      <c r="I788" t="str">
        <v>Huile olive</v>
      </c>
      <c r="J788">
        <f t="shared" si="17"/>
        <v>6</v>
      </c>
    </row>
    <row r="789" spans="1:10" x14ac:dyDescent="0.25">
      <c r="A789" t="s">
        <v>1044</v>
      </c>
      <c r="B789" t="s">
        <v>1039</v>
      </c>
      <c r="C789" t="s">
        <v>19</v>
      </c>
      <c r="D789" t="s">
        <v>28</v>
      </c>
      <c r="E789">
        <v>10</v>
      </c>
      <c r="F789" t="s">
        <v>29</v>
      </c>
      <c r="G789">
        <v>9.4700000000000006</v>
      </c>
      <c r="H789" t="str" cm="1">
        <f t="array" ref="H789">_xlfn.XLOOKUP(TRIM(C789),_xlfn.ANCHORARRAY($L$5),$M$5:$M$18)</f>
        <v>LEGUMEX</v>
      </c>
      <c r="I789" t="str">
        <v>Sauce tomate</v>
      </c>
      <c r="J789">
        <f t="shared" si="17"/>
        <v>10</v>
      </c>
    </row>
    <row r="790" spans="1:10" x14ac:dyDescent="0.25">
      <c r="A790" t="s">
        <v>1045</v>
      </c>
      <c r="B790" t="s">
        <v>1046</v>
      </c>
      <c r="C790" t="s">
        <v>66</v>
      </c>
      <c r="D790" t="s">
        <v>33</v>
      </c>
      <c r="E790">
        <v>6</v>
      </c>
      <c r="F790" t="s">
        <v>17</v>
      </c>
      <c r="G790">
        <v>8.82</v>
      </c>
      <c r="H790" t="str" cm="1">
        <f t="array" ref="H790">_xlfn.XLOOKUP(TRIM(C790),_xlfn.ANCHORARRAY($L$5),$M$5:$M$18)</f>
        <v>B. Halal Pro</v>
      </c>
      <c r="I790" t="str">
        <v>Viande hachée</v>
      </c>
      <c r="J790">
        <f t="shared" si="17"/>
        <v>6</v>
      </c>
    </row>
    <row r="791" spans="1:10" x14ac:dyDescent="0.25">
      <c r="A791" t="s">
        <v>1047</v>
      </c>
      <c r="B791" t="s">
        <v>1046</v>
      </c>
      <c r="C791" t="s">
        <v>32</v>
      </c>
      <c r="D791" t="s">
        <v>35</v>
      </c>
      <c r="E791">
        <v>5</v>
      </c>
      <c r="F791" t="s">
        <v>17</v>
      </c>
      <c r="G791">
        <v>6.99</v>
      </c>
      <c r="H791" t="str" cm="1">
        <f t="array" ref="H791">_xlfn.XLOOKUP(TRIM(C791),_xlfn.ANCHORARRAY($L$5),$M$5:$M$18)</f>
        <v>B. Halal Pro</v>
      </c>
      <c r="I791" t="str">
        <v>Poulet émincé</v>
      </c>
      <c r="J791">
        <f t="shared" si="17"/>
        <v>5</v>
      </c>
    </row>
    <row r="792" spans="1:10" x14ac:dyDescent="0.25">
      <c r="A792" t="s">
        <v>1048</v>
      </c>
      <c r="B792" t="s">
        <v>1046</v>
      </c>
      <c r="C792" t="s">
        <v>69</v>
      </c>
      <c r="D792" t="s">
        <v>38</v>
      </c>
      <c r="E792">
        <v>10</v>
      </c>
      <c r="F792" t="s">
        <v>39</v>
      </c>
      <c r="G792">
        <v>5.88</v>
      </c>
      <c r="H792" t="str" cm="1">
        <f t="array" ref="H792">_xlfn.XLOOKUP(TRIM(C792),_xlfn.ANCHORARRAY($L$5),$M$5:$M$18)</f>
        <v>Boul. Express</v>
      </c>
      <c r="I792" t="str">
        <v>Pain burger</v>
      </c>
      <c r="J792">
        <f t="shared" si="17"/>
        <v>10</v>
      </c>
    </row>
    <row r="793" spans="1:10" x14ac:dyDescent="0.25">
      <c r="A793" t="s">
        <v>1049</v>
      </c>
      <c r="B793" t="s">
        <v>1046</v>
      </c>
      <c r="C793" t="s">
        <v>41</v>
      </c>
      <c r="D793" t="s">
        <v>42</v>
      </c>
      <c r="E793">
        <v>12</v>
      </c>
      <c r="F793" t="s">
        <v>43</v>
      </c>
      <c r="G793">
        <v>4.01</v>
      </c>
      <c r="H793" t="str" cm="1">
        <f t="array" ref="H793">_xlfn.XLOOKUP(TRIM(C793),_xlfn.ANCHORARRAY($L$5),$M$5:$M$18)</f>
        <v>Boul. Express</v>
      </c>
      <c r="I793" t="str">
        <v>Pain pita</v>
      </c>
      <c r="J793">
        <f t="shared" si="17"/>
        <v>12</v>
      </c>
    </row>
    <row r="794" spans="1:10" x14ac:dyDescent="0.25">
      <c r="A794" t="s">
        <v>1050</v>
      </c>
      <c r="B794" t="s">
        <v>1051</v>
      </c>
      <c r="C794" t="s">
        <v>19</v>
      </c>
      <c r="D794" t="s">
        <v>20</v>
      </c>
      <c r="E794">
        <v>4</v>
      </c>
      <c r="F794" t="s">
        <v>21</v>
      </c>
      <c r="G794">
        <v>4.07</v>
      </c>
      <c r="H794" t="str" cm="1">
        <f t="array" ref="H794">_xlfn.XLOOKUP(TRIM(C794),_xlfn.ANCHORARRAY($L$5),$M$5:$M$18)</f>
        <v>LEGUMEX</v>
      </c>
      <c r="I794" t="str">
        <v>Tomates pelées</v>
      </c>
      <c r="J794">
        <f t="shared" si="17"/>
        <v>4</v>
      </c>
    </row>
    <row r="795" spans="1:10" x14ac:dyDescent="0.25">
      <c r="A795" t="s">
        <v>1052</v>
      </c>
      <c r="B795" t="s">
        <v>1051</v>
      </c>
      <c r="C795" t="s">
        <v>27</v>
      </c>
      <c r="D795" t="s">
        <v>24</v>
      </c>
      <c r="E795">
        <v>8</v>
      </c>
      <c r="F795" t="s">
        <v>25</v>
      </c>
      <c r="G795">
        <v>23.15</v>
      </c>
      <c r="H795" t="str" cm="1">
        <f t="array" ref="H795">_xlfn.XLOOKUP(TRIM(C795),_xlfn.ANCHORARRAY($L$5),$M$5:$M$18)</f>
        <v>LEGUMEX</v>
      </c>
      <c r="I795" t="str">
        <v>Huile olive</v>
      </c>
      <c r="J795">
        <f t="shared" si="17"/>
        <v>8</v>
      </c>
    </row>
    <row r="796" spans="1:10" x14ac:dyDescent="0.25">
      <c r="A796" t="s">
        <v>1053</v>
      </c>
      <c r="B796" t="s">
        <v>1051</v>
      </c>
      <c r="C796" t="s">
        <v>46</v>
      </c>
      <c r="D796" t="s">
        <v>28</v>
      </c>
      <c r="E796">
        <v>10</v>
      </c>
      <c r="F796" t="s">
        <v>29</v>
      </c>
      <c r="G796">
        <v>9.8000000000000007</v>
      </c>
      <c r="H796" t="str" cm="1">
        <f t="array" ref="H796">_xlfn.XLOOKUP(TRIM(C796),_xlfn.ANCHORARRAY($L$5),$M$5:$M$18)</f>
        <v>LEGUMEX</v>
      </c>
      <c r="I796" t="str">
        <v>Sauce tomate</v>
      </c>
      <c r="J796">
        <f t="shared" si="17"/>
        <v>10</v>
      </c>
    </row>
    <row r="797" spans="1:10" x14ac:dyDescent="0.25">
      <c r="A797" t="s">
        <v>1054</v>
      </c>
      <c r="B797" t="s">
        <v>1051</v>
      </c>
      <c r="C797" t="s">
        <v>50</v>
      </c>
      <c r="D797" t="s">
        <v>51</v>
      </c>
      <c r="E797">
        <v>3</v>
      </c>
      <c r="F797" t="s">
        <v>52</v>
      </c>
      <c r="G797">
        <v>17.82</v>
      </c>
      <c r="H797" t="str" cm="1">
        <f t="array" ref="H797">_xlfn.XLOOKUP(TRIM(C797),_xlfn.ANCHORARRAY($L$5),$M$5:$M$18)</f>
        <v>Moulin du Nord</v>
      </c>
      <c r="I797" t="str">
        <v>Farine</v>
      </c>
      <c r="J797">
        <f t="shared" si="17"/>
        <v>3</v>
      </c>
    </row>
    <row r="798" spans="1:10" x14ac:dyDescent="0.25">
      <c r="A798" t="s">
        <v>1055</v>
      </c>
      <c r="B798" t="s">
        <v>1051</v>
      </c>
      <c r="C798" t="s">
        <v>195</v>
      </c>
      <c r="D798" t="s">
        <v>55</v>
      </c>
      <c r="E798">
        <v>8</v>
      </c>
      <c r="F798" t="s">
        <v>17</v>
      </c>
      <c r="G798">
        <v>8.42</v>
      </c>
      <c r="H798" t="str" cm="1">
        <f t="array" ref="H798">_xlfn.XLOOKUP(TRIM(C798),_xlfn.ANCHORARRAY($L$5),$M$5:$M$18)</f>
        <v>Fromag. Centrale</v>
      </c>
      <c r="I798" t="str">
        <v>Mozzarella</v>
      </c>
      <c r="J798">
        <f t="shared" si="17"/>
        <v>8</v>
      </c>
    </row>
    <row r="799" spans="1:10" x14ac:dyDescent="0.25">
      <c r="A799" t="s">
        <v>1056</v>
      </c>
      <c r="B799" t="s">
        <v>1057</v>
      </c>
      <c r="C799" t="s">
        <v>9</v>
      </c>
      <c r="D799" t="s">
        <v>10</v>
      </c>
      <c r="E799">
        <v>6</v>
      </c>
      <c r="F799" t="s">
        <v>11</v>
      </c>
      <c r="G799">
        <v>15.16</v>
      </c>
      <c r="H799" t="str" cm="1">
        <f t="array" ref="H799">_xlfn.XLOOKUP(TRIM(C799),_xlfn.ANCHORARRAY($L$5),$M$5:$M$18)</f>
        <v>Metro</v>
      </c>
      <c r="I799" t="str">
        <v>Coca Cola</v>
      </c>
      <c r="J799">
        <f t="shared" si="17"/>
        <v>6</v>
      </c>
    </row>
    <row r="800" spans="1:10" x14ac:dyDescent="0.25">
      <c r="A800" t="s">
        <v>1058</v>
      </c>
      <c r="B800" t="s">
        <v>1057</v>
      </c>
      <c r="C800" t="s">
        <v>9</v>
      </c>
      <c r="D800" t="s">
        <v>14</v>
      </c>
      <c r="E800">
        <v>5</v>
      </c>
      <c r="F800" t="s">
        <v>11</v>
      </c>
      <c r="G800">
        <v>13.78</v>
      </c>
      <c r="H800" t="str" cm="1">
        <f t="array" ref="H800">_xlfn.XLOOKUP(TRIM(C800),_xlfn.ANCHORARRAY($L$5),$M$5:$M$18)</f>
        <v>Metro</v>
      </c>
      <c r="I800" t="str">
        <v>7up</v>
      </c>
      <c r="J800">
        <f t="shared" si="17"/>
        <v>5</v>
      </c>
    </row>
    <row r="801" spans="1:10" x14ac:dyDescent="0.25">
      <c r="A801" t="s">
        <v>1059</v>
      </c>
      <c r="B801" t="s">
        <v>1057</v>
      </c>
      <c r="C801" t="s">
        <v>97</v>
      </c>
      <c r="D801" t="s">
        <v>16</v>
      </c>
      <c r="E801">
        <v>6</v>
      </c>
      <c r="F801" t="s">
        <v>17</v>
      </c>
      <c r="G801">
        <v>1.26</v>
      </c>
      <c r="H801" t="str" cm="1">
        <f t="array" ref="H801">_xlfn.XLOOKUP(TRIM(C801),_xlfn.ANCHORARRAY($L$5),$M$5:$M$18)</f>
        <v>Metro</v>
      </c>
      <c r="I801" t="str">
        <v>Sel</v>
      </c>
      <c r="J801">
        <f t="shared" si="17"/>
        <v>6</v>
      </c>
    </row>
    <row r="802" spans="1:10" x14ac:dyDescent="0.25">
      <c r="A802" t="s">
        <v>1060</v>
      </c>
      <c r="B802" t="s">
        <v>1061</v>
      </c>
      <c r="C802" t="s">
        <v>100</v>
      </c>
      <c r="D802" t="s">
        <v>33</v>
      </c>
      <c r="E802">
        <v>10</v>
      </c>
      <c r="F802" t="s">
        <v>17</v>
      </c>
      <c r="G802">
        <v>8.67</v>
      </c>
      <c r="H802" t="str" cm="1">
        <f t="array" ref="H802">_xlfn.XLOOKUP(TRIM(C802),_xlfn.ANCHORARRAY($L$5),$M$5:$M$18)</f>
        <v>B. Halal Pro</v>
      </c>
      <c r="I802" t="str">
        <v>Viande hachée</v>
      </c>
      <c r="J802">
        <f t="shared" si="17"/>
        <v>10</v>
      </c>
    </row>
    <row r="803" spans="1:10" x14ac:dyDescent="0.25">
      <c r="A803" t="s">
        <v>1062</v>
      </c>
      <c r="B803" t="s">
        <v>1061</v>
      </c>
      <c r="C803" t="s">
        <v>32</v>
      </c>
      <c r="D803" t="s">
        <v>35</v>
      </c>
      <c r="E803">
        <v>10</v>
      </c>
      <c r="F803" t="s">
        <v>17</v>
      </c>
      <c r="G803">
        <v>6.93</v>
      </c>
      <c r="H803" t="str" cm="1">
        <f t="array" ref="H803">_xlfn.XLOOKUP(TRIM(C803),_xlfn.ANCHORARRAY($L$5),$M$5:$M$18)</f>
        <v>B. Halal Pro</v>
      </c>
      <c r="I803" t="str">
        <v>Poulet émincé</v>
      </c>
      <c r="J803">
        <f t="shared" si="17"/>
        <v>10</v>
      </c>
    </row>
    <row r="804" spans="1:10" x14ac:dyDescent="0.25">
      <c r="A804" t="s">
        <v>1063</v>
      </c>
      <c r="B804" t="s">
        <v>1061</v>
      </c>
      <c r="C804" t="s">
        <v>41</v>
      </c>
      <c r="D804" t="s">
        <v>38</v>
      </c>
      <c r="E804">
        <v>8</v>
      </c>
      <c r="F804" t="s">
        <v>39</v>
      </c>
      <c r="G804">
        <v>5.75</v>
      </c>
      <c r="H804" t="str" cm="1">
        <f t="array" ref="H804">_xlfn.XLOOKUP(TRIM(C804),_xlfn.ANCHORARRAY($L$5),$M$5:$M$18)</f>
        <v>Boul. Express</v>
      </c>
      <c r="I804" t="str">
        <v>Pain burger</v>
      </c>
      <c r="J804">
        <f t="shared" si="17"/>
        <v>8</v>
      </c>
    </row>
    <row r="805" spans="1:10" x14ac:dyDescent="0.25">
      <c r="A805" t="s">
        <v>1064</v>
      </c>
      <c r="B805" t="s">
        <v>1061</v>
      </c>
      <c r="C805" t="s">
        <v>69</v>
      </c>
      <c r="D805" t="s">
        <v>42</v>
      </c>
      <c r="E805">
        <v>10</v>
      </c>
      <c r="F805" t="s">
        <v>43</v>
      </c>
      <c r="G805">
        <v>4</v>
      </c>
      <c r="H805" t="str" cm="1">
        <f t="array" ref="H805">_xlfn.XLOOKUP(TRIM(C805),_xlfn.ANCHORARRAY($L$5),$M$5:$M$18)</f>
        <v>Boul. Express</v>
      </c>
      <c r="I805" t="str">
        <v>Pain pita</v>
      </c>
      <c r="J805">
        <f t="shared" si="17"/>
        <v>10</v>
      </c>
    </row>
    <row r="806" spans="1:10" x14ac:dyDescent="0.25">
      <c r="A806" t="s">
        <v>1065</v>
      </c>
      <c r="B806" t="s">
        <v>1066</v>
      </c>
      <c r="C806" t="s">
        <v>92</v>
      </c>
      <c r="D806" t="s">
        <v>55</v>
      </c>
      <c r="E806">
        <v>10</v>
      </c>
      <c r="F806" t="s">
        <v>17</v>
      </c>
      <c r="G806">
        <v>8.4600000000000009</v>
      </c>
      <c r="H806" t="str" cm="1">
        <f t="array" ref="H806">_xlfn.XLOOKUP(TRIM(C806),_xlfn.ANCHORARRAY($L$5),$M$5:$M$18)</f>
        <v>Fromag. Centrale</v>
      </c>
      <c r="I806" t="str">
        <v>Mozzarella</v>
      </c>
      <c r="J806">
        <f t="shared" si="17"/>
        <v>10</v>
      </c>
    </row>
    <row r="807" spans="1:10" x14ac:dyDescent="0.25">
      <c r="A807" t="s">
        <v>1067</v>
      </c>
      <c r="B807" t="s">
        <v>1068</v>
      </c>
      <c r="C807" t="s">
        <v>61</v>
      </c>
      <c r="D807" t="s">
        <v>10</v>
      </c>
      <c r="E807">
        <v>3</v>
      </c>
      <c r="F807" t="s">
        <v>11</v>
      </c>
      <c r="G807">
        <v>14.19</v>
      </c>
      <c r="H807" t="str" cm="1">
        <f t="array" ref="H807">_xlfn.XLOOKUP(TRIM(C807),_xlfn.ANCHORARRAY($L$5),$M$5:$M$18)</f>
        <v>Metro</v>
      </c>
      <c r="I807" t="str">
        <v>Coca Cola</v>
      </c>
      <c r="J807">
        <f t="shared" si="17"/>
        <v>3</v>
      </c>
    </row>
    <row r="808" spans="1:10" x14ac:dyDescent="0.25">
      <c r="A808" t="s">
        <v>1069</v>
      </c>
      <c r="B808" t="s">
        <v>1068</v>
      </c>
      <c r="C808" t="s">
        <v>13</v>
      </c>
      <c r="D808" t="s">
        <v>14</v>
      </c>
      <c r="E808">
        <v>3</v>
      </c>
      <c r="F808" t="s">
        <v>11</v>
      </c>
      <c r="G808">
        <v>13.1</v>
      </c>
      <c r="H808" t="str" cm="1">
        <f t="array" ref="H808">_xlfn.XLOOKUP(TRIM(C808),_xlfn.ANCHORARRAY($L$5),$M$5:$M$18)</f>
        <v>Metro</v>
      </c>
      <c r="I808" t="str">
        <v>7up</v>
      </c>
      <c r="J808">
        <f t="shared" si="17"/>
        <v>3</v>
      </c>
    </row>
    <row r="809" spans="1:10" x14ac:dyDescent="0.25">
      <c r="A809" t="s">
        <v>1070</v>
      </c>
      <c r="B809" t="s">
        <v>1068</v>
      </c>
      <c r="C809" t="s">
        <v>97</v>
      </c>
      <c r="D809" t="s">
        <v>16</v>
      </c>
      <c r="E809">
        <v>4</v>
      </c>
      <c r="F809" t="s">
        <v>17</v>
      </c>
      <c r="G809">
        <v>1.19</v>
      </c>
      <c r="H809" t="str" cm="1">
        <f t="array" ref="H809">_xlfn.XLOOKUP(TRIM(C809),_xlfn.ANCHORARRAY($L$5),$M$5:$M$18)</f>
        <v>Metro</v>
      </c>
      <c r="I809" t="str">
        <v>Sel</v>
      </c>
      <c r="J809">
        <f t="shared" si="17"/>
        <v>4</v>
      </c>
    </row>
    <row r="810" spans="1:10" x14ac:dyDescent="0.25">
      <c r="A810" t="s">
        <v>1071</v>
      </c>
      <c r="B810" t="s">
        <v>1068</v>
      </c>
      <c r="C810" t="s">
        <v>23</v>
      </c>
      <c r="D810" t="s">
        <v>20</v>
      </c>
      <c r="E810">
        <v>4</v>
      </c>
      <c r="F810" t="s">
        <v>21</v>
      </c>
      <c r="G810">
        <v>4.34</v>
      </c>
      <c r="H810" t="str" cm="1">
        <f t="array" ref="H810">_xlfn.XLOOKUP(TRIM(C810),_xlfn.ANCHORARRAY($L$5),$M$5:$M$18)</f>
        <v>LEGUMEX</v>
      </c>
      <c r="I810" t="str">
        <v>Tomates pelées</v>
      </c>
      <c r="J810">
        <f t="shared" si="17"/>
        <v>4</v>
      </c>
    </row>
    <row r="811" spans="1:10" x14ac:dyDescent="0.25">
      <c r="A811" t="s">
        <v>1072</v>
      </c>
      <c r="B811" t="s">
        <v>1068</v>
      </c>
      <c r="C811" t="s">
        <v>19</v>
      </c>
      <c r="D811" t="s">
        <v>24</v>
      </c>
      <c r="E811">
        <v>10</v>
      </c>
      <c r="F811" t="s">
        <v>25</v>
      </c>
      <c r="G811">
        <v>21.97</v>
      </c>
      <c r="H811" t="str" cm="1">
        <f t="array" ref="H811">_xlfn.XLOOKUP(TRIM(C811),_xlfn.ANCHORARRAY($L$5),$M$5:$M$18)</f>
        <v>LEGUMEX</v>
      </c>
      <c r="I811" t="str">
        <v>Huile olive</v>
      </c>
      <c r="J811">
        <f t="shared" si="17"/>
        <v>10</v>
      </c>
    </row>
    <row r="812" spans="1:10" x14ac:dyDescent="0.25">
      <c r="A812" t="s">
        <v>1073</v>
      </c>
      <c r="B812" t="s">
        <v>1068</v>
      </c>
      <c r="C812" t="s">
        <v>23</v>
      </c>
      <c r="D812" t="s">
        <v>28</v>
      </c>
      <c r="E812">
        <v>8</v>
      </c>
      <c r="F812" t="s">
        <v>29</v>
      </c>
      <c r="G812">
        <v>10.06</v>
      </c>
      <c r="H812" t="str" cm="1">
        <f t="array" ref="H812">_xlfn.XLOOKUP(TRIM(C812),_xlfn.ANCHORARRAY($L$5),$M$5:$M$18)</f>
        <v>LEGUMEX</v>
      </c>
      <c r="I812" t="str">
        <v>Sauce tomate</v>
      </c>
      <c r="J812">
        <f t="shared" si="17"/>
        <v>8</v>
      </c>
    </row>
    <row r="813" spans="1:10" x14ac:dyDescent="0.25">
      <c r="A813" t="s">
        <v>1074</v>
      </c>
      <c r="B813" t="s">
        <v>1075</v>
      </c>
      <c r="C813" t="s">
        <v>32</v>
      </c>
      <c r="D813" t="s">
        <v>33</v>
      </c>
      <c r="E813">
        <v>5</v>
      </c>
      <c r="F813" t="s">
        <v>17</v>
      </c>
      <c r="G813">
        <v>10.07</v>
      </c>
      <c r="H813" t="str" cm="1">
        <f t="array" ref="H813">_xlfn.XLOOKUP(TRIM(C813),_xlfn.ANCHORARRAY($L$5),$M$5:$M$18)</f>
        <v>B. Halal Pro</v>
      </c>
      <c r="I813" t="str">
        <v>Viande hachée</v>
      </c>
      <c r="J813">
        <f t="shared" si="17"/>
        <v>5</v>
      </c>
    </row>
    <row r="814" spans="1:10" x14ac:dyDescent="0.25">
      <c r="A814" t="s">
        <v>1076</v>
      </c>
      <c r="B814" t="s">
        <v>1075</v>
      </c>
      <c r="C814" t="s">
        <v>66</v>
      </c>
      <c r="D814" t="s">
        <v>35</v>
      </c>
      <c r="E814">
        <v>12</v>
      </c>
      <c r="F814" t="s">
        <v>17</v>
      </c>
      <c r="G814">
        <v>6.68</v>
      </c>
      <c r="H814" t="str" cm="1">
        <f t="array" ref="H814">_xlfn.XLOOKUP(TRIM(C814),_xlfn.ANCHORARRAY($L$5),$M$5:$M$18)</f>
        <v>B. Halal Pro</v>
      </c>
      <c r="I814" t="str">
        <v>Poulet émincé</v>
      </c>
      <c r="J814">
        <f t="shared" si="17"/>
        <v>12</v>
      </c>
    </row>
    <row r="815" spans="1:10" x14ac:dyDescent="0.25">
      <c r="A815" t="s">
        <v>1077</v>
      </c>
      <c r="B815" t="s">
        <v>1075</v>
      </c>
      <c r="C815" t="s">
        <v>83</v>
      </c>
      <c r="D815" t="s">
        <v>38</v>
      </c>
      <c r="E815">
        <v>8</v>
      </c>
      <c r="F815" t="s">
        <v>39</v>
      </c>
      <c r="G815">
        <v>5.98</v>
      </c>
      <c r="H815" t="str" cm="1">
        <f t="array" ref="H815">_xlfn.XLOOKUP(TRIM(C815),_xlfn.ANCHORARRAY($L$5),$M$5:$M$18)</f>
        <v>Boul. Express</v>
      </c>
      <c r="I815" t="str">
        <v>Pain burger</v>
      </c>
      <c r="J815">
        <f t="shared" si="17"/>
        <v>8</v>
      </c>
    </row>
    <row r="816" spans="1:10" x14ac:dyDescent="0.25">
      <c r="A816" t="s">
        <v>1078</v>
      </c>
      <c r="B816" t="s">
        <v>1075</v>
      </c>
      <c r="C816" t="s">
        <v>37</v>
      </c>
      <c r="D816" t="s">
        <v>42</v>
      </c>
      <c r="E816">
        <v>5</v>
      </c>
      <c r="F816" t="s">
        <v>43</v>
      </c>
      <c r="G816">
        <v>3.97</v>
      </c>
      <c r="H816" t="str" cm="1">
        <f t="array" ref="H816">_xlfn.XLOOKUP(TRIM(C816),_xlfn.ANCHORARRAY($L$5),$M$5:$M$18)</f>
        <v>Boul. Express</v>
      </c>
      <c r="I816" t="str">
        <v>Pain pita</v>
      </c>
      <c r="J816">
        <f t="shared" si="17"/>
        <v>5</v>
      </c>
    </row>
    <row r="817" spans="1:10" x14ac:dyDescent="0.25">
      <c r="A817" t="s">
        <v>1079</v>
      </c>
      <c r="B817" t="s">
        <v>1080</v>
      </c>
      <c r="C817" t="s">
        <v>27</v>
      </c>
      <c r="D817" t="s">
        <v>20</v>
      </c>
      <c r="E817">
        <v>6</v>
      </c>
      <c r="F817" t="s">
        <v>21</v>
      </c>
      <c r="G817">
        <v>4.25</v>
      </c>
      <c r="H817" t="str" cm="1">
        <f t="array" ref="H817">_xlfn.XLOOKUP(TRIM(C817),_xlfn.ANCHORARRAY($L$5),$M$5:$M$18)</f>
        <v>LEGUMEX</v>
      </c>
      <c r="I817" t="str">
        <v>Tomates pelées</v>
      </c>
      <c r="J817">
        <f t="shared" si="17"/>
        <v>6</v>
      </c>
    </row>
    <row r="818" spans="1:10" x14ac:dyDescent="0.25">
      <c r="A818" t="s">
        <v>1081</v>
      </c>
      <c r="B818" t="s">
        <v>1080</v>
      </c>
      <c r="C818" t="s">
        <v>27</v>
      </c>
      <c r="D818" t="s">
        <v>24</v>
      </c>
      <c r="E818">
        <v>8</v>
      </c>
      <c r="F818" t="s">
        <v>25</v>
      </c>
      <c r="G818">
        <v>21.54</v>
      </c>
      <c r="H818" t="str" cm="1">
        <f t="array" ref="H818">_xlfn.XLOOKUP(TRIM(C818),_xlfn.ANCHORARRAY($L$5),$M$5:$M$18)</f>
        <v>LEGUMEX</v>
      </c>
      <c r="I818" t="str">
        <v>Huile olive</v>
      </c>
      <c r="J818">
        <f t="shared" si="17"/>
        <v>8</v>
      </c>
    </row>
    <row r="819" spans="1:10" x14ac:dyDescent="0.25">
      <c r="A819" t="s">
        <v>1082</v>
      </c>
      <c r="B819" t="s">
        <v>1080</v>
      </c>
      <c r="C819" t="s">
        <v>46</v>
      </c>
      <c r="D819" t="s">
        <v>28</v>
      </c>
      <c r="E819">
        <v>10</v>
      </c>
      <c r="F819" t="s">
        <v>29</v>
      </c>
      <c r="G819">
        <v>9.85</v>
      </c>
      <c r="H819" t="str" cm="1">
        <f t="array" ref="H819">_xlfn.XLOOKUP(TRIM(C819),_xlfn.ANCHORARRAY($L$5),$M$5:$M$18)</f>
        <v>LEGUMEX</v>
      </c>
      <c r="I819" t="str">
        <v>Sauce tomate</v>
      </c>
      <c r="J819">
        <f t="shared" si="17"/>
        <v>10</v>
      </c>
    </row>
    <row r="820" spans="1:10" x14ac:dyDescent="0.25">
      <c r="A820" t="s">
        <v>1083</v>
      </c>
      <c r="B820" t="s">
        <v>1080</v>
      </c>
      <c r="C820" t="s">
        <v>50</v>
      </c>
      <c r="D820" t="s">
        <v>51</v>
      </c>
      <c r="E820">
        <v>3</v>
      </c>
      <c r="F820" t="s">
        <v>52</v>
      </c>
      <c r="G820">
        <v>18.18</v>
      </c>
      <c r="H820" t="str" cm="1">
        <f t="array" ref="H820">_xlfn.XLOOKUP(TRIM(C820),_xlfn.ANCHORARRAY($L$5),$M$5:$M$18)</f>
        <v>Moulin du Nord</v>
      </c>
      <c r="I820" t="str">
        <v>Farine</v>
      </c>
      <c r="J820">
        <f t="shared" si="17"/>
        <v>3</v>
      </c>
    </row>
    <row r="821" spans="1:10" x14ac:dyDescent="0.25">
      <c r="A821" t="s">
        <v>1084</v>
      </c>
      <c r="B821" t="s">
        <v>1080</v>
      </c>
      <c r="C821" t="s">
        <v>195</v>
      </c>
      <c r="D821" t="s">
        <v>55</v>
      </c>
      <c r="E821">
        <v>4</v>
      </c>
      <c r="F821" t="s">
        <v>17</v>
      </c>
      <c r="G821">
        <v>9.1999999999999993</v>
      </c>
      <c r="H821" t="str" cm="1">
        <f t="array" ref="H821">_xlfn.XLOOKUP(TRIM(C821),_xlfn.ANCHORARRAY($L$5),$M$5:$M$18)</f>
        <v>Fromag. Centrale</v>
      </c>
      <c r="I821" t="str">
        <v>Mozzarella</v>
      </c>
      <c r="J821">
        <f t="shared" si="17"/>
        <v>4</v>
      </c>
    </row>
    <row r="822" spans="1:10" x14ac:dyDescent="0.25">
      <c r="A822" t="s">
        <v>1085</v>
      </c>
      <c r="B822" t="s">
        <v>1086</v>
      </c>
      <c r="C822" t="s">
        <v>97</v>
      </c>
      <c r="D822" t="s">
        <v>10</v>
      </c>
      <c r="E822">
        <v>5</v>
      </c>
      <c r="F822" t="s">
        <v>11</v>
      </c>
      <c r="G822">
        <v>14.35</v>
      </c>
      <c r="H822" t="str" cm="1">
        <f t="array" ref="H822">_xlfn.XLOOKUP(TRIM(C822),_xlfn.ANCHORARRAY($L$5),$M$5:$M$18)</f>
        <v>Metro</v>
      </c>
      <c r="I822" t="str">
        <v>Coca Cola</v>
      </c>
      <c r="J822">
        <f t="shared" si="17"/>
        <v>5</v>
      </c>
    </row>
    <row r="823" spans="1:10" x14ac:dyDescent="0.25">
      <c r="A823" t="s">
        <v>1087</v>
      </c>
      <c r="B823" t="s">
        <v>1086</v>
      </c>
      <c r="C823" t="s">
        <v>9</v>
      </c>
      <c r="D823" t="s">
        <v>14</v>
      </c>
      <c r="E823">
        <v>5</v>
      </c>
      <c r="F823" t="s">
        <v>11</v>
      </c>
      <c r="G823">
        <v>13.98</v>
      </c>
      <c r="H823" t="str" cm="1">
        <f t="array" ref="H823">_xlfn.XLOOKUP(TRIM(C823),_xlfn.ANCHORARRAY($L$5),$M$5:$M$18)</f>
        <v>Metro</v>
      </c>
      <c r="I823" t="str">
        <v>7up</v>
      </c>
      <c r="J823">
        <f t="shared" si="17"/>
        <v>5</v>
      </c>
    </row>
    <row r="824" spans="1:10" x14ac:dyDescent="0.25">
      <c r="A824" t="s">
        <v>1088</v>
      </c>
      <c r="B824" t="s">
        <v>1086</v>
      </c>
      <c r="C824" t="s">
        <v>97</v>
      </c>
      <c r="D824" t="s">
        <v>16</v>
      </c>
      <c r="E824">
        <v>5</v>
      </c>
      <c r="F824" t="s">
        <v>17</v>
      </c>
      <c r="G824">
        <v>1.23</v>
      </c>
      <c r="H824" t="str" cm="1">
        <f t="array" ref="H824">_xlfn.XLOOKUP(TRIM(C824),_xlfn.ANCHORARRAY($L$5),$M$5:$M$18)</f>
        <v>Metro</v>
      </c>
      <c r="I824" t="str">
        <v>Sel</v>
      </c>
      <c r="J824">
        <f t="shared" si="17"/>
        <v>5</v>
      </c>
    </row>
    <row r="825" spans="1:10" x14ac:dyDescent="0.25">
      <c r="A825" t="s">
        <v>1089</v>
      </c>
      <c r="B825" t="s">
        <v>1090</v>
      </c>
      <c r="C825" t="s">
        <v>32</v>
      </c>
      <c r="D825" t="s">
        <v>33</v>
      </c>
      <c r="E825">
        <v>12</v>
      </c>
      <c r="F825" t="s">
        <v>17</v>
      </c>
      <c r="G825">
        <v>8.7899999999999991</v>
      </c>
      <c r="H825" t="str" cm="1">
        <f t="array" ref="H825">_xlfn.XLOOKUP(TRIM(C825),_xlfn.ANCHORARRAY($L$5),$M$5:$M$18)</f>
        <v>B. Halal Pro</v>
      </c>
      <c r="I825" t="str">
        <v>Viande hachée</v>
      </c>
      <c r="J825">
        <f t="shared" si="17"/>
        <v>12</v>
      </c>
    </row>
    <row r="826" spans="1:10" x14ac:dyDescent="0.25">
      <c r="A826" t="s">
        <v>1091</v>
      </c>
      <c r="B826" t="s">
        <v>1090</v>
      </c>
      <c r="C826" t="s">
        <v>64</v>
      </c>
      <c r="D826" t="s">
        <v>35</v>
      </c>
      <c r="E826">
        <v>12</v>
      </c>
      <c r="F826" t="s">
        <v>17</v>
      </c>
      <c r="G826">
        <v>7.55</v>
      </c>
      <c r="H826" t="str" cm="1">
        <f t="array" ref="H826">_xlfn.XLOOKUP(TRIM(C826),_xlfn.ANCHORARRAY($L$5),$M$5:$M$18)</f>
        <v>B. Halal Pro</v>
      </c>
      <c r="I826" t="str">
        <v>Poulet émincé</v>
      </c>
      <c r="J826">
        <f t="shared" si="17"/>
        <v>12</v>
      </c>
    </row>
    <row r="827" spans="1:10" x14ac:dyDescent="0.25">
      <c r="A827" t="s">
        <v>1092</v>
      </c>
      <c r="B827" t="s">
        <v>1090</v>
      </c>
      <c r="C827" t="s">
        <v>37</v>
      </c>
      <c r="D827" t="s">
        <v>38</v>
      </c>
      <c r="E827">
        <v>5</v>
      </c>
      <c r="F827" t="s">
        <v>39</v>
      </c>
      <c r="G827">
        <v>5.92</v>
      </c>
      <c r="H827" t="str" cm="1">
        <f t="array" ref="H827">_xlfn.XLOOKUP(TRIM(C827),_xlfn.ANCHORARRAY($L$5),$M$5:$M$18)</f>
        <v>Boul. Express</v>
      </c>
      <c r="I827" t="str">
        <v>Pain burger</v>
      </c>
      <c r="J827">
        <f t="shared" si="17"/>
        <v>5</v>
      </c>
    </row>
    <row r="828" spans="1:10" x14ac:dyDescent="0.25">
      <c r="A828" t="s">
        <v>1093</v>
      </c>
      <c r="B828" t="s">
        <v>1090</v>
      </c>
      <c r="C828" t="s">
        <v>37</v>
      </c>
      <c r="D828" t="s">
        <v>42</v>
      </c>
      <c r="E828">
        <v>12</v>
      </c>
      <c r="F828" t="s">
        <v>43</v>
      </c>
      <c r="G828">
        <v>3.88</v>
      </c>
      <c r="H828" t="str" cm="1">
        <f t="array" ref="H828">_xlfn.XLOOKUP(TRIM(C828),_xlfn.ANCHORARRAY($L$5),$M$5:$M$18)</f>
        <v>Boul. Express</v>
      </c>
      <c r="I828" t="str">
        <v>Pain pita</v>
      </c>
      <c r="J828">
        <f t="shared" si="17"/>
        <v>12</v>
      </c>
    </row>
    <row r="829" spans="1:10" x14ac:dyDescent="0.25">
      <c r="A829" t="s">
        <v>1094</v>
      </c>
      <c r="B829" t="s">
        <v>1095</v>
      </c>
      <c r="C829" t="s">
        <v>154</v>
      </c>
      <c r="D829" t="s">
        <v>55</v>
      </c>
      <c r="E829">
        <v>6</v>
      </c>
      <c r="F829" t="s">
        <v>17</v>
      </c>
      <c r="G829">
        <v>9.1999999999999993</v>
      </c>
      <c r="H829" t="str" cm="1">
        <f t="array" ref="H829">_xlfn.XLOOKUP(TRIM(C829),_xlfn.ANCHORARRAY($L$5),$M$5:$M$18)</f>
        <v>Fromag. Centrale</v>
      </c>
      <c r="I829" t="str">
        <v>Mozzarella</v>
      </c>
      <c r="J829">
        <f t="shared" si="17"/>
        <v>6</v>
      </c>
    </row>
    <row r="830" spans="1:10" x14ac:dyDescent="0.25">
      <c r="A830" t="s">
        <v>1096</v>
      </c>
      <c r="B830" t="s">
        <v>1097</v>
      </c>
      <c r="C830" t="s">
        <v>13</v>
      </c>
      <c r="D830" t="s">
        <v>10</v>
      </c>
      <c r="E830">
        <v>6</v>
      </c>
      <c r="F830" t="s">
        <v>11</v>
      </c>
      <c r="G830">
        <v>15.14</v>
      </c>
      <c r="H830" t="str" cm="1">
        <f t="array" ref="H830">_xlfn.XLOOKUP(TRIM(C830),_xlfn.ANCHORARRAY($L$5),$M$5:$M$18)</f>
        <v>Metro</v>
      </c>
      <c r="I830" t="str">
        <v>Coca Cola</v>
      </c>
      <c r="J830">
        <f t="shared" si="17"/>
        <v>6</v>
      </c>
    </row>
    <row r="831" spans="1:10" x14ac:dyDescent="0.25">
      <c r="A831" t="s">
        <v>1098</v>
      </c>
      <c r="B831" t="s">
        <v>1097</v>
      </c>
      <c r="C831" t="s">
        <v>61</v>
      </c>
      <c r="D831" t="s">
        <v>14</v>
      </c>
      <c r="E831">
        <v>5</v>
      </c>
      <c r="F831" t="s">
        <v>11</v>
      </c>
      <c r="G831">
        <v>13.81</v>
      </c>
      <c r="H831" t="str" cm="1">
        <f t="array" ref="H831">_xlfn.XLOOKUP(TRIM(C831),_xlfn.ANCHORARRAY($L$5),$M$5:$M$18)</f>
        <v>Metro</v>
      </c>
      <c r="I831" t="str">
        <v>7up</v>
      </c>
      <c r="J831">
        <f t="shared" si="17"/>
        <v>5</v>
      </c>
    </row>
    <row r="832" spans="1:10" x14ac:dyDescent="0.25">
      <c r="A832" t="s">
        <v>1099</v>
      </c>
      <c r="B832" t="s">
        <v>1097</v>
      </c>
      <c r="C832" t="s">
        <v>61</v>
      </c>
      <c r="D832" t="s">
        <v>16</v>
      </c>
      <c r="E832">
        <v>4</v>
      </c>
      <c r="F832" t="s">
        <v>17</v>
      </c>
      <c r="G832">
        <v>1.2</v>
      </c>
      <c r="H832" t="str" cm="1">
        <f t="array" ref="H832">_xlfn.XLOOKUP(TRIM(C832),_xlfn.ANCHORARRAY($L$5),$M$5:$M$18)</f>
        <v>Metro</v>
      </c>
      <c r="I832" t="str">
        <v>Sel</v>
      </c>
      <c r="J832">
        <f t="shared" si="17"/>
        <v>4</v>
      </c>
    </row>
    <row r="833" spans="1:10" x14ac:dyDescent="0.25">
      <c r="A833" t="s">
        <v>1100</v>
      </c>
      <c r="B833" t="s">
        <v>1097</v>
      </c>
      <c r="C833" t="s">
        <v>46</v>
      </c>
      <c r="D833" t="s">
        <v>20</v>
      </c>
      <c r="E833">
        <v>6</v>
      </c>
      <c r="F833" t="s">
        <v>21</v>
      </c>
      <c r="G833">
        <v>4.3899999999999997</v>
      </c>
      <c r="H833" t="str" cm="1">
        <f t="array" ref="H833">_xlfn.XLOOKUP(TRIM(C833),_xlfn.ANCHORARRAY($L$5),$M$5:$M$18)</f>
        <v>LEGUMEX</v>
      </c>
      <c r="I833" t="str">
        <v>Tomates pelées</v>
      </c>
      <c r="J833">
        <f t="shared" si="17"/>
        <v>6</v>
      </c>
    </row>
    <row r="834" spans="1:10" x14ac:dyDescent="0.25">
      <c r="A834" t="s">
        <v>1101</v>
      </c>
      <c r="B834" t="s">
        <v>1097</v>
      </c>
      <c r="C834" t="s">
        <v>46</v>
      </c>
      <c r="D834" t="s">
        <v>24</v>
      </c>
      <c r="E834">
        <v>6</v>
      </c>
      <c r="F834" t="s">
        <v>25</v>
      </c>
      <c r="G834">
        <v>22.77</v>
      </c>
      <c r="H834" t="str" cm="1">
        <f t="array" ref="H834">_xlfn.XLOOKUP(TRIM(C834),_xlfn.ANCHORARRAY($L$5),$M$5:$M$18)</f>
        <v>LEGUMEX</v>
      </c>
      <c r="I834" t="str">
        <v>Huile olive</v>
      </c>
      <c r="J834">
        <f t="shared" ref="J834:J897" si="18">IF(E834&lt;&gt;0,E834,_xlfn.XLOOKUP(I834,$Q$5:$Q$16,$Y$5:$Y$16))</f>
        <v>6</v>
      </c>
    </row>
    <row r="835" spans="1:10" x14ac:dyDescent="0.25">
      <c r="A835" t="s">
        <v>1102</v>
      </c>
      <c r="B835" t="s">
        <v>1097</v>
      </c>
      <c r="C835" t="s">
        <v>46</v>
      </c>
      <c r="D835" t="s">
        <v>28</v>
      </c>
      <c r="E835">
        <v>8</v>
      </c>
      <c r="F835" t="s">
        <v>29</v>
      </c>
      <c r="G835">
        <v>9.85</v>
      </c>
      <c r="H835" t="str" cm="1">
        <f t="array" ref="H835">_xlfn.XLOOKUP(TRIM(C835),_xlfn.ANCHORARRAY($L$5),$M$5:$M$18)</f>
        <v>LEGUMEX</v>
      </c>
      <c r="I835" t="str">
        <v>Sauce tomate</v>
      </c>
      <c r="J835">
        <f t="shared" si="18"/>
        <v>8</v>
      </c>
    </row>
    <row r="836" spans="1:10" x14ac:dyDescent="0.25">
      <c r="A836" t="s">
        <v>1103</v>
      </c>
      <c r="B836" t="s">
        <v>1104</v>
      </c>
      <c r="C836" t="s">
        <v>32</v>
      </c>
      <c r="D836" t="s">
        <v>33</v>
      </c>
      <c r="E836">
        <v>5</v>
      </c>
      <c r="F836" t="s">
        <v>17</v>
      </c>
      <c r="G836">
        <v>9.42</v>
      </c>
      <c r="H836" t="str" cm="1">
        <f t="array" ref="H836">_xlfn.XLOOKUP(TRIM(C836),_xlfn.ANCHORARRAY($L$5),$M$5:$M$18)</f>
        <v>B. Halal Pro</v>
      </c>
      <c r="I836" t="str">
        <v>Viande hachée</v>
      </c>
      <c r="J836">
        <f t="shared" si="18"/>
        <v>5</v>
      </c>
    </row>
    <row r="837" spans="1:10" x14ac:dyDescent="0.25">
      <c r="A837" t="s">
        <v>1105</v>
      </c>
      <c r="B837" t="s">
        <v>1104</v>
      </c>
      <c r="C837" t="s">
        <v>64</v>
      </c>
      <c r="D837" t="s">
        <v>35</v>
      </c>
      <c r="E837">
        <v>6</v>
      </c>
      <c r="F837" t="s">
        <v>17</v>
      </c>
      <c r="G837">
        <v>7.17</v>
      </c>
      <c r="H837" t="str" cm="1">
        <f t="array" ref="H837">_xlfn.XLOOKUP(TRIM(C837),_xlfn.ANCHORARRAY($L$5),$M$5:$M$18)</f>
        <v>B. Halal Pro</v>
      </c>
      <c r="I837" t="str">
        <v>Poulet émincé</v>
      </c>
      <c r="J837">
        <f t="shared" si="18"/>
        <v>6</v>
      </c>
    </row>
    <row r="838" spans="1:10" x14ac:dyDescent="0.25">
      <c r="A838" t="s">
        <v>1106</v>
      </c>
      <c r="B838" t="s">
        <v>1104</v>
      </c>
      <c r="C838" t="s">
        <v>69</v>
      </c>
      <c r="D838" t="s">
        <v>38</v>
      </c>
      <c r="E838">
        <v>12</v>
      </c>
      <c r="F838" t="s">
        <v>39</v>
      </c>
      <c r="G838">
        <v>5.87</v>
      </c>
      <c r="H838" t="str" cm="1">
        <f t="array" ref="H838">_xlfn.XLOOKUP(TRIM(C838),_xlfn.ANCHORARRAY($L$5),$M$5:$M$18)</f>
        <v>Boul. Express</v>
      </c>
      <c r="I838" t="str">
        <v>Pain burger</v>
      </c>
      <c r="J838">
        <f t="shared" si="18"/>
        <v>12</v>
      </c>
    </row>
    <row r="839" spans="1:10" x14ac:dyDescent="0.25">
      <c r="A839" t="s">
        <v>1107</v>
      </c>
      <c r="B839" t="s">
        <v>1104</v>
      </c>
      <c r="C839" t="s">
        <v>83</v>
      </c>
      <c r="D839" t="s">
        <v>42</v>
      </c>
      <c r="E839">
        <v>8</v>
      </c>
      <c r="F839" t="s">
        <v>43</v>
      </c>
      <c r="G839">
        <v>3.85</v>
      </c>
      <c r="H839" t="str" cm="1">
        <f t="array" ref="H839">_xlfn.XLOOKUP(TRIM(C839),_xlfn.ANCHORARRAY($L$5),$M$5:$M$18)</f>
        <v>Boul. Express</v>
      </c>
      <c r="I839" t="str">
        <v>Pain pita</v>
      </c>
      <c r="J839">
        <f t="shared" si="18"/>
        <v>8</v>
      </c>
    </row>
    <row r="840" spans="1:10" x14ac:dyDescent="0.25">
      <c r="A840" t="s">
        <v>1108</v>
      </c>
      <c r="B840" t="s">
        <v>1109</v>
      </c>
      <c r="C840" t="s">
        <v>23</v>
      </c>
      <c r="D840" t="s">
        <v>20</v>
      </c>
      <c r="E840">
        <v>6</v>
      </c>
      <c r="F840" t="s">
        <v>21</v>
      </c>
      <c r="G840">
        <v>4.07</v>
      </c>
      <c r="H840" t="str" cm="1">
        <f t="array" ref="H840">_xlfn.XLOOKUP(TRIM(C840),_xlfn.ANCHORARRAY($L$5),$M$5:$M$18)</f>
        <v>LEGUMEX</v>
      </c>
      <c r="I840" t="str">
        <v>Tomates pelées</v>
      </c>
      <c r="J840">
        <f t="shared" si="18"/>
        <v>6</v>
      </c>
    </row>
    <row r="841" spans="1:10" x14ac:dyDescent="0.25">
      <c r="A841" t="s">
        <v>1110</v>
      </c>
      <c r="B841" t="s">
        <v>1109</v>
      </c>
      <c r="C841" t="s">
        <v>23</v>
      </c>
      <c r="D841" t="s">
        <v>24</v>
      </c>
      <c r="E841">
        <v>6</v>
      </c>
      <c r="F841" t="s">
        <v>25</v>
      </c>
      <c r="G841">
        <v>21.85</v>
      </c>
      <c r="H841" t="str" cm="1">
        <f t="array" ref="H841">_xlfn.XLOOKUP(TRIM(C841),_xlfn.ANCHORARRAY($L$5),$M$5:$M$18)</f>
        <v>LEGUMEX</v>
      </c>
      <c r="I841" t="str">
        <v>Huile olive</v>
      </c>
      <c r="J841">
        <f t="shared" si="18"/>
        <v>6</v>
      </c>
    </row>
    <row r="842" spans="1:10" x14ac:dyDescent="0.25">
      <c r="A842" t="s">
        <v>1111</v>
      </c>
      <c r="B842" t="s">
        <v>1109</v>
      </c>
      <c r="C842" t="s">
        <v>27</v>
      </c>
      <c r="D842" t="s">
        <v>28</v>
      </c>
      <c r="E842">
        <v>8</v>
      </c>
      <c r="F842" t="s">
        <v>29</v>
      </c>
      <c r="G842">
        <v>9.32</v>
      </c>
      <c r="H842" t="str" cm="1">
        <f t="array" ref="H842">_xlfn.XLOOKUP(TRIM(C842),_xlfn.ANCHORARRAY($L$5),$M$5:$M$18)</f>
        <v>LEGUMEX</v>
      </c>
      <c r="I842" t="str">
        <v>Sauce tomate</v>
      </c>
      <c r="J842">
        <f t="shared" si="18"/>
        <v>8</v>
      </c>
    </row>
    <row r="843" spans="1:10" x14ac:dyDescent="0.25">
      <c r="A843" t="s">
        <v>1112</v>
      </c>
      <c r="B843" t="s">
        <v>1109</v>
      </c>
      <c r="C843" t="s">
        <v>152</v>
      </c>
      <c r="D843" t="s">
        <v>51</v>
      </c>
      <c r="E843">
        <v>2</v>
      </c>
      <c r="F843" t="s">
        <v>52</v>
      </c>
      <c r="G843">
        <v>18.72</v>
      </c>
      <c r="H843" t="str" cm="1">
        <f t="array" ref="H843">_xlfn.XLOOKUP(TRIM(C843),_xlfn.ANCHORARRAY($L$5),$M$5:$M$18)</f>
        <v>Moulin du Nord</v>
      </c>
      <c r="I843" t="str">
        <v>Farine</v>
      </c>
      <c r="J843">
        <f t="shared" si="18"/>
        <v>2</v>
      </c>
    </row>
    <row r="844" spans="1:10" x14ac:dyDescent="0.25">
      <c r="A844" t="s">
        <v>1113</v>
      </c>
      <c r="B844" t="s">
        <v>1109</v>
      </c>
      <c r="C844" t="s">
        <v>154</v>
      </c>
      <c r="D844" t="s">
        <v>55</v>
      </c>
      <c r="E844">
        <v>10</v>
      </c>
      <c r="F844" t="s">
        <v>17</v>
      </c>
      <c r="G844">
        <v>8.5500000000000007</v>
      </c>
      <c r="H844" t="str" cm="1">
        <f t="array" ref="H844">_xlfn.XLOOKUP(TRIM(C844),_xlfn.ANCHORARRAY($L$5),$M$5:$M$18)</f>
        <v>Fromag. Centrale</v>
      </c>
      <c r="I844" t="str">
        <v>Mozzarella</v>
      </c>
      <c r="J844">
        <f t="shared" si="18"/>
        <v>10</v>
      </c>
    </row>
    <row r="845" spans="1:10" x14ac:dyDescent="0.25">
      <c r="A845" t="s">
        <v>1114</v>
      </c>
      <c r="B845" t="s">
        <v>1115</v>
      </c>
      <c r="C845" t="s">
        <v>59</v>
      </c>
      <c r="D845" t="s">
        <v>10</v>
      </c>
      <c r="E845">
        <v>6</v>
      </c>
      <c r="F845" t="s">
        <v>11</v>
      </c>
      <c r="G845">
        <v>15.22</v>
      </c>
      <c r="H845" t="str" cm="1">
        <f t="array" ref="H845">_xlfn.XLOOKUP(TRIM(C845),_xlfn.ANCHORARRAY($L$5),$M$5:$M$18)</f>
        <v>Metro</v>
      </c>
      <c r="I845" t="str">
        <v>Coca Cola</v>
      </c>
      <c r="J845">
        <f t="shared" si="18"/>
        <v>6</v>
      </c>
    </row>
    <row r="846" spans="1:10" x14ac:dyDescent="0.25">
      <c r="A846" t="s">
        <v>1116</v>
      </c>
      <c r="B846" t="s">
        <v>1115</v>
      </c>
      <c r="C846" t="s">
        <v>9</v>
      </c>
      <c r="D846" t="s">
        <v>14</v>
      </c>
      <c r="E846">
        <v>4</v>
      </c>
      <c r="F846" t="s">
        <v>11</v>
      </c>
      <c r="G846">
        <v>13.67</v>
      </c>
      <c r="H846" t="str" cm="1">
        <f t="array" ref="H846">_xlfn.XLOOKUP(TRIM(C846),_xlfn.ANCHORARRAY($L$5),$M$5:$M$18)</f>
        <v>Metro</v>
      </c>
      <c r="I846" t="str">
        <v>7up</v>
      </c>
      <c r="J846">
        <f t="shared" si="18"/>
        <v>4</v>
      </c>
    </row>
    <row r="847" spans="1:10" x14ac:dyDescent="0.25">
      <c r="A847" t="s">
        <v>1117</v>
      </c>
      <c r="B847" t="s">
        <v>1115</v>
      </c>
      <c r="C847" t="s">
        <v>97</v>
      </c>
      <c r="D847" t="s">
        <v>16</v>
      </c>
      <c r="F847" t="s">
        <v>17</v>
      </c>
      <c r="G847">
        <v>1.17</v>
      </c>
      <c r="H847" t="str" cm="1">
        <f t="array" ref="H847">_xlfn.XLOOKUP(TRIM(C847),_xlfn.ANCHORARRAY($L$5),$M$5:$M$18)</f>
        <v>Metro</v>
      </c>
      <c r="I847" t="str">
        <v>Sel</v>
      </c>
      <c r="J847">
        <f t="shared" si="18"/>
        <v>6</v>
      </c>
    </row>
    <row r="848" spans="1:10" x14ac:dyDescent="0.25">
      <c r="A848" t="s">
        <v>1118</v>
      </c>
      <c r="B848" t="s">
        <v>1119</v>
      </c>
      <c r="C848" t="s">
        <v>100</v>
      </c>
      <c r="D848" t="s">
        <v>33</v>
      </c>
      <c r="E848">
        <v>8</v>
      </c>
      <c r="F848" t="s">
        <v>17</v>
      </c>
      <c r="G848">
        <v>8.8800000000000008</v>
      </c>
      <c r="H848" t="str" cm="1">
        <f t="array" ref="H848">_xlfn.XLOOKUP(TRIM(C848),_xlfn.ANCHORARRAY($L$5),$M$5:$M$18)</f>
        <v>B. Halal Pro</v>
      </c>
      <c r="I848" t="str">
        <v>Viande hachée</v>
      </c>
      <c r="J848">
        <f t="shared" si="18"/>
        <v>8</v>
      </c>
    </row>
    <row r="849" spans="1:10" x14ac:dyDescent="0.25">
      <c r="A849" t="s">
        <v>1120</v>
      </c>
      <c r="B849" t="s">
        <v>1119</v>
      </c>
      <c r="C849" t="s">
        <v>64</v>
      </c>
      <c r="D849" t="s">
        <v>35</v>
      </c>
      <c r="E849">
        <v>12</v>
      </c>
      <c r="F849" t="s">
        <v>17</v>
      </c>
      <c r="G849">
        <v>7.07</v>
      </c>
      <c r="H849" t="str" cm="1">
        <f t="array" ref="H849">_xlfn.XLOOKUP(TRIM(C849),_xlfn.ANCHORARRAY($L$5),$M$5:$M$18)</f>
        <v>B. Halal Pro</v>
      </c>
      <c r="I849" t="str">
        <v>Poulet émincé</v>
      </c>
      <c r="J849">
        <f t="shared" si="18"/>
        <v>12</v>
      </c>
    </row>
    <row r="850" spans="1:10" x14ac:dyDescent="0.25">
      <c r="A850" t="s">
        <v>1121</v>
      </c>
      <c r="B850" t="s">
        <v>1119</v>
      </c>
      <c r="C850" t="s">
        <v>41</v>
      </c>
      <c r="D850" t="s">
        <v>38</v>
      </c>
      <c r="E850">
        <v>10</v>
      </c>
      <c r="F850" t="s">
        <v>39</v>
      </c>
      <c r="G850">
        <v>5.97</v>
      </c>
      <c r="H850" t="str" cm="1">
        <f t="array" ref="H850">_xlfn.XLOOKUP(TRIM(C850),_xlfn.ANCHORARRAY($L$5),$M$5:$M$18)</f>
        <v>Boul. Express</v>
      </c>
      <c r="I850" t="str">
        <v>Pain burger</v>
      </c>
      <c r="J850">
        <f t="shared" si="18"/>
        <v>10</v>
      </c>
    </row>
    <row r="851" spans="1:10" x14ac:dyDescent="0.25">
      <c r="A851" t="s">
        <v>1122</v>
      </c>
      <c r="B851" t="s">
        <v>1119</v>
      </c>
      <c r="C851" t="s">
        <v>69</v>
      </c>
      <c r="D851" t="s">
        <v>42</v>
      </c>
      <c r="E851">
        <v>10</v>
      </c>
      <c r="F851" t="s">
        <v>43</v>
      </c>
      <c r="G851">
        <v>3.99</v>
      </c>
      <c r="H851" t="str" cm="1">
        <f t="array" ref="H851">_xlfn.XLOOKUP(TRIM(C851),_xlfn.ANCHORARRAY($L$5),$M$5:$M$18)</f>
        <v>Boul. Express</v>
      </c>
      <c r="I851" t="str">
        <v>Pain pita</v>
      </c>
      <c r="J851">
        <f t="shared" si="18"/>
        <v>10</v>
      </c>
    </row>
    <row r="852" spans="1:10" x14ac:dyDescent="0.25">
      <c r="A852" t="s">
        <v>1123</v>
      </c>
      <c r="B852" t="s">
        <v>1124</v>
      </c>
      <c r="C852" t="s">
        <v>92</v>
      </c>
      <c r="D852" t="s">
        <v>55</v>
      </c>
      <c r="E852">
        <v>10</v>
      </c>
      <c r="F852" t="s">
        <v>17</v>
      </c>
      <c r="G852">
        <v>8.85</v>
      </c>
      <c r="H852" t="str" cm="1">
        <f t="array" ref="H852">_xlfn.XLOOKUP(TRIM(C852),_xlfn.ANCHORARRAY($L$5),$M$5:$M$18)</f>
        <v>Fromag. Centrale</v>
      </c>
      <c r="I852" t="str">
        <v>Mozzarella</v>
      </c>
      <c r="J852">
        <f t="shared" si="18"/>
        <v>10</v>
      </c>
    </row>
    <row r="853" spans="1:10" x14ac:dyDescent="0.25">
      <c r="A853" t="s">
        <v>1125</v>
      </c>
      <c r="B853" t="s">
        <v>1126</v>
      </c>
      <c r="C853" t="s">
        <v>13</v>
      </c>
      <c r="D853" t="s">
        <v>10</v>
      </c>
      <c r="E853">
        <v>4</v>
      </c>
      <c r="F853" t="s">
        <v>11</v>
      </c>
      <c r="G853">
        <v>15.2</v>
      </c>
      <c r="H853" t="str" cm="1">
        <f t="array" ref="H853">_xlfn.XLOOKUP(TRIM(C853),_xlfn.ANCHORARRAY($L$5),$M$5:$M$18)</f>
        <v>Metro</v>
      </c>
      <c r="I853" t="str">
        <v>Coca Cola</v>
      </c>
      <c r="J853">
        <f t="shared" si="18"/>
        <v>4</v>
      </c>
    </row>
    <row r="854" spans="1:10" x14ac:dyDescent="0.25">
      <c r="A854" t="s">
        <v>1127</v>
      </c>
      <c r="B854" t="s">
        <v>1126</v>
      </c>
      <c r="C854" t="s">
        <v>59</v>
      </c>
      <c r="D854" t="s">
        <v>14</v>
      </c>
      <c r="E854">
        <v>3</v>
      </c>
      <c r="F854" t="s">
        <v>11</v>
      </c>
      <c r="G854">
        <v>13.08</v>
      </c>
      <c r="H854" t="str" cm="1">
        <f t="array" ref="H854">_xlfn.XLOOKUP(TRIM(C854),_xlfn.ANCHORARRAY($L$5),$M$5:$M$18)</f>
        <v>Metro</v>
      </c>
      <c r="I854" t="str">
        <v>7up</v>
      </c>
      <c r="J854">
        <f t="shared" si="18"/>
        <v>3</v>
      </c>
    </row>
    <row r="855" spans="1:10" x14ac:dyDescent="0.25">
      <c r="A855" t="s">
        <v>1128</v>
      </c>
      <c r="B855" t="s">
        <v>1126</v>
      </c>
      <c r="C855" t="s">
        <v>13</v>
      </c>
      <c r="D855" t="s">
        <v>16</v>
      </c>
      <c r="E855">
        <v>4</v>
      </c>
      <c r="F855" t="s">
        <v>17</v>
      </c>
      <c r="G855">
        <v>1.24</v>
      </c>
      <c r="H855" t="str" cm="1">
        <f t="array" ref="H855">_xlfn.XLOOKUP(TRIM(C855),_xlfn.ANCHORARRAY($L$5),$M$5:$M$18)</f>
        <v>Metro</v>
      </c>
      <c r="I855" t="str">
        <v>Sel</v>
      </c>
      <c r="J855">
        <f t="shared" si="18"/>
        <v>4</v>
      </c>
    </row>
    <row r="856" spans="1:10" x14ac:dyDescent="0.25">
      <c r="A856" t="s">
        <v>1129</v>
      </c>
      <c r="B856" t="s">
        <v>1126</v>
      </c>
      <c r="C856" t="s">
        <v>19</v>
      </c>
      <c r="D856" t="s">
        <v>20</v>
      </c>
      <c r="E856">
        <v>4</v>
      </c>
      <c r="F856" t="s">
        <v>21</v>
      </c>
      <c r="G856">
        <v>4.0599999999999996</v>
      </c>
      <c r="H856" t="str" cm="1">
        <f t="array" ref="H856">_xlfn.XLOOKUP(TRIM(C856),_xlfn.ANCHORARRAY($L$5),$M$5:$M$18)</f>
        <v>LEGUMEX</v>
      </c>
      <c r="I856" t="str">
        <v>Tomates pelées</v>
      </c>
      <c r="J856">
        <f t="shared" si="18"/>
        <v>4</v>
      </c>
    </row>
    <row r="857" spans="1:10" x14ac:dyDescent="0.25">
      <c r="A857" t="s">
        <v>1130</v>
      </c>
      <c r="B857" t="s">
        <v>1126</v>
      </c>
      <c r="C857" t="s">
        <v>46</v>
      </c>
      <c r="D857" t="s">
        <v>24</v>
      </c>
      <c r="E857">
        <v>4</v>
      </c>
      <c r="F857" t="s">
        <v>25</v>
      </c>
      <c r="G857">
        <v>23.11</v>
      </c>
      <c r="H857" t="str" cm="1">
        <f t="array" ref="H857">_xlfn.XLOOKUP(TRIM(C857),_xlfn.ANCHORARRAY($L$5),$M$5:$M$18)</f>
        <v>LEGUMEX</v>
      </c>
      <c r="I857" t="str">
        <v>Huile olive</v>
      </c>
      <c r="J857">
        <f t="shared" si="18"/>
        <v>4</v>
      </c>
    </row>
    <row r="858" spans="1:10" x14ac:dyDescent="0.25">
      <c r="A858" t="s">
        <v>1131</v>
      </c>
      <c r="B858" t="s">
        <v>1126</v>
      </c>
      <c r="C858" t="s">
        <v>27</v>
      </c>
      <c r="D858" t="s">
        <v>28</v>
      </c>
      <c r="E858">
        <v>4</v>
      </c>
      <c r="F858" t="s">
        <v>29</v>
      </c>
      <c r="G858">
        <v>10.15</v>
      </c>
      <c r="H858" t="str" cm="1">
        <f t="array" ref="H858">_xlfn.XLOOKUP(TRIM(C858),_xlfn.ANCHORARRAY($L$5),$M$5:$M$18)</f>
        <v>LEGUMEX</v>
      </c>
      <c r="I858" t="str">
        <v>Sauce tomate</v>
      </c>
      <c r="J858">
        <f t="shared" si="18"/>
        <v>4</v>
      </c>
    </row>
    <row r="859" spans="1:10" x14ac:dyDescent="0.25">
      <c r="A859" t="s">
        <v>1132</v>
      </c>
      <c r="B859" t="s">
        <v>1133</v>
      </c>
      <c r="C859" t="s">
        <v>64</v>
      </c>
      <c r="D859" t="s">
        <v>33</v>
      </c>
      <c r="E859">
        <v>10</v>
      </c>
      <c r="F859" t="s">
        <v>17</v>
      </c>
      <c r="G859">
        <v>9.31</v>
      </c>
      <c r="H859" t="str" cm="1">
        <f t="array" ref="H859">_xlfn.XLOOKUP(TRIM(C859),_xlfn.ANCHORARRAY($L$5),$M$5:$M$18)</f>
        <v>B. Halal Pro</v>
      </c>
      <c r="I859" t="str">
        <v>Viande hachée</v>
      </c>
      <c r="J859">
        <f t="shared" si="18"/>
        <v>10</v>
      </c>
    </row>
    <row r="860" spans="1:10" x14ac:dyDescent="0.25">
      <c r="A860" t="s">
        <v>1134</v>
      </c>
      <c r="B860" t="s">
        <v>1133</v>
      </c>
      <c r="C860" t="s">
        <v>32</v>
      </c>
      <c r="D860" t="s">
        <v>35</v>
      </c>
      <c r="E860">
        <v>6</v>
      </c>
      <c r="F860" t="s">
        <v>17</v>
      </c>
      <c r="G860">
        <v>7.17</v>
      </c>
      <c r="H860" t="str" cm="1">
        <f t="array" ref="H860">_xlfn.XLOOKUP(TRIM(C860),_xlfn.ANCHORARRAY($L$5),$M$5:$M$18)</f>
        <v>B. Halal Pro</v>
      </c>
      <c r="I860" t="str">
        <v>Poulet émincé</v>
      </c>
      <c r="J860">
        <f t="shared" si="18"/>
        <v>6</v>
      </c>
    </row>
    <row r="861" spans="1:10" x14ac:dyDescent="0.25">
      <c r="A861" t="s">
        <v>1135</v>
      </c>
      <c r="B861" t="s">
        <v>1133</v>
      </c>
      <c r="C861" t="s">
        <v>41</v>
      </c>
      <c r="D861" t="s">
        <v>38</v>
      </c>
      <c r="E861">
        <v>5</v>
      </c>
      <c r="F861" t="s">
        <v>39</v>
      </c>
      <c r="G861">
        <v>5.79</v>
      </c>
      <c r="H861" t="str" cm="1">
        <f t="array" ref="H861">_xlfn.XLOOKUP(TRIM(C861),_xlfn.ANCHORARRAY($L$5),$M$5:$M$18)</f>
        <v>Boul. Express</v>
      </c>
      <c r="I861" t="str">
        <v>Pain burger</v>
      </c>
      <c r="J861">
        <f t="shared" si="18"/>
        <v>5</v>
      </c>
    </row>
    <row r="862" spans="1:10" x14ac:dyDescent="0.25">
      <c r="A862" t="s">
        <v>1136</v>
      </c>
      <c r="B862" t="s">
        <v>1133</v>
      </c>
      <c r="C862" t="s">
        <v>37</v>
      </c>
      <c r="D862" t="s">
        <v>42</v>
      </c>
      <c r="E862">
        <v>8</v>
      </c>
      <c r="F862" t="s">
        <v>43</v>
      </c>
      <c r="G862">
        <v>3.97</v>
      </c>
      <c r="H862" t="str" cm="1">
        <f t="array" ref="H862">_xlfn.XLOOKUP(TRIM(C862),_xlfn.ANCHORARRAY($L$5),$M$5:$M$18)</f>
        <v>Boul. Express</v>
      </c>
      <c r="I862" t="str">
        <v>Pain pita</v>
      </c>
      <c r="J862">
        <f t="shared" si="18"/>
        <v>8</v>
      </c>
    </row>
    <row r="863" spans="1:10" x14ac:dyDescent="0.25">
      <c r="A863" t="s">
        <v>1137</v>
      </c>
      <c r="B863" t="s">
        <v>1138</v>
      </c>
      <c r="C863" t="s">
        <v>27</v>
      </c>
      <c r="D863" t="s">
        <v>20</v>
      </c>
      <c r="E863">
        <v>4</v>
      </c>
      <c r="F863" t="s">
        <v>21</v>
      </c>
      <c r="G863">
        <v>4.2699999999999996</v>
      </c>
      <c r="H863" t="str" cm="1">
        <f t="array" ref="H863">_xlfn.XLOOKUP(TRIM(C863),_xlfn.ANCHORARRAY($L$5),$M$5:$M$18)</f>
        <v>LEGUMEX</v>
      </c>
      <c r="I863" t="str">
        <v>Tomates pelées</v>
      </c>
      <c r="J863">
        <f t="shared" si="18"/>
        <v>4</v>
      </c>
    </row>
    <row r="864" spans="1:10" x14ac:dyDescent="0.25">
      <c r="A864" t="s">
        <v>1139</v>
      </c>
      <c r="B864" t="s">
        <v>1138</v>
      </c>
      <c r="C864" t="s">
        <v>27</v>
      </c>
      <c r="D864" t="s">
        <v>24</v>
      </c>
      <c r="E864">
        <v>6</v>
      </c>
      <c r="F864" t="s">
        <v>25</v>
      </c>
      <c r="G864">
        <v>22.32</v>
      </c>
      <c r="H864" t="str" cm="1">
        <f t="array" ref="H864">_xlfn.XLOOKUP(TRIM(C864),_xlfn.ANCHORARRAY($L$5),$M$5:$M$18)</f>
        <v>LEGUMEX</v>
      </c>
      <c r="I864" t="str">
        <v>Huile olive</v>
      </c>
      <c r="J864">
        <f t="shared" si="18"/>
        <v>6</v>
      </c>
    </row>
    <row r="865" spans="1:10" x14ac:dyDescent="0.25">
      <c r="A865" t="s">
        <v>1140</v>
      </c>
      <c r="B865" t="s">
        <v>1138</v>
      </c>
      <c r="C865" t="s">
        <v>19</v>
      </c>
      <c r="D865" t="s">
        <v>28</v>
      </c>
      <c r="E865">
        <v>10</v>
      </c>
      <c r="F865" t="s">
        <v>29</v>
      </c>
      <c r="G865">
        <v>9.77</v>
      </c>
      <c r="H865" t="str" cm="1">
        <f t="array" ref="H865">_xlfn.XLOOKUP(TRIM(C865),_xlfn.ANCHORARRAY($L$5),$M$5:$M$18)</f>
        <v>LEGUMEX</v>
      </c>
      <c r="I865" t="str">
        <v>Sauce tomate</v>
      </c>
      <c r="J865">
        <f t="shared" si="18"/>
        <v>10</v>
      </c>
    </row>
    <row r="866" spans="1:10" x14ac:dyDescent="0.25">
      <c r="A866" t="s">
        <v>1141</v>
      </c>
      <c r="B866" t="s">
        <v>1138</v>
      </c>
      <c r="C866" t="s">
        <v>90</v>
      </c>
      <c r="D866" t="s">
        <v>51</v>
      </c>
      <c r="E866">
        <v>2</v>
      </c>
      <c r="F866" t="s">
        <v>52</v>
      </c>
      <c r="G866">
        <v>18.670000000000002</v>
      </c>
      <c r="H866" t="str" cm="1">
        <f t="array" ref="H866">_xlfn.XLOOKUP(TRIM(C866),_xlfn.ANCHORARRAY($L$5),$M$5:$M$18)</f>
        <v>Moulin du Nord</v>
      </c>
      <c r="I866" t="str">
        <v>Farine</v>
      </c>
      <c r="J866">
        <f t="shared" si="18"/>
        <v>2</v>
      </c>
    </row>
    <row r="867" spans="1:10" x14ac:dyDescent="0.25">
      <c r="A867" t="s">
        <v>1142</v>
      </c>
      <c r="B867" t="s">
        <v>1138</v>
      </c>
      <c r="C867" t="s">
        <v>195</v>
      </c>
      <c r="D867" t="s">
        <v>55</v>
      </c>
      <c r="F867" t="s">
        <v>17</v>
      </c>
      <c r="G867">
        <v>8.84</v>
      </c>
      <c r="H867" t="str" cm="1">
        <f t="array" ref="H867">_xlfn.XLOOKUP(TRIM(C867),_xlfn.ANCHORARRAY($L$5),$M$5:$M$18)</f>
        <v>Fromag. Centrale</v>
      </c>
      <c r="I867" t="str">
        <v>Mozzarella</v>
      </c>
      <c r="J867">
        <f t="shared" si="18"/>
        <v>10</v>
      </c>
    </row>
    <row r="868" spans="1:10" x14ac:dyDescent="0.25">
      <c r="A868" t="s">
        <v>1143</v>
      </c>
      <c r="B868" t="s">
        <v>1144</v>
      </c>
      <c r="C868" t="s">
        <v>9</v>
      </c>
      <c r="D868" t="s">
        <v>10</v>
      </c>
      <c r="E868">
        <v>3</v>
      </c>
      <c r="F868" t="s">
        <v>11</v>
      </c>
      <c r="G868">
        <v>15.05</v>
      </c>
      <c r="H868" t="str" cm="1">
        <f t="array" ref="H868">_xlfn.XLOOKUP(TRIM(C868),_xlfn.ANCHORARRAY($L$5),$M$5:$M$18)</f>
        <v>Metro</v>
      </c>
      <c r="I868" t="str">
        <v>Coca Cola</v>
      </c>
      <c r="J868">
        <f t="shared" si="18"/>
        <v>3</v>
      </c>
    </row>
    <row r="869" spans="1:10" x14ac:dyDescent="0.25">
      <c r="A869" t="s">
        <v>1145</v>
      </c>
      <c r="B869" t="s">
        <v>1144</v>
      </c>
      <c r="C869" t="s">
        <v>13</v>
      </c>
      <c r="D869" t="s">
        <v>14</v>
      </c>
      <c r="E869">
        <v>3</v>
      </c>
      <c r="F869" t="s">
        <v>11</v>
      </c>
      <c r="G869">
        <v>13.73</v>
      </c>
      <c r="H869" t="str" cm="1">
        <f t="array" ref="H869">_xlfn.XLOOKUP(TRIM(C869),_xlfn.ANCHORARRAY($L$5),$M$5:$M$18)</f>
        <v>Metro</v>
      </c>
      <c r="I869" t="str">
        <v>7up</v>
      </c>
      <c r="J869">
        <f t="shared" si="18"/>
        <v>3</v>
      </c>
    </row>
    <row r="870" spans="1:10" x14ac:dyDescent="0.25">
      <c r="A870" t="s">
        <v>1146</v>
      </c>
      <c r="B870" t="s">
        <v>1144</v>
      </c>
      <c r="C870" t="s">
        <v>9</v>
      </c>
      <c r="D870" t="s">
        <v>16</v>
      </c>
      <c r="E870">
        <v>5</v>
      </c>
      <c r="F870" t="s">
        <v>17</v>
      </c>
      <c r="G870">
        <v>1.23</v>
      </c>
      <c r="H870" t="str" cm="1">
        <f t="array" ref="H870">_xlfn.XLOOKUP(TRIM(C870),_xlfn.ANCHORARRAY($L$5),$M$5:$M$18)</f>
        <v>Metro</v>
      </c>
      <c r="I870" t="str">
        <v>Sel</v>
      </c>
      <c r="J870">
        <f t="shared" si="18"/>
        <v>5</v>
      </c>
    </row>
    <row r="871" spans="1:10" x14ac:dyDescent="0.25">
      <c r="A871" t="s">
        <v>1147</v>
      </c>
      <c r="B871" t="s">
        <v>1148</v>
      </c>
      <c r="C871" t="s">
        <v>32</v>
      </c>
      <c r="D871" t="s">
        <v>33</v>
      </c>
      <c r="E871">
        <v>5</v>
      </c>
      <c r="F871" t="s">
        <v>17</v>
      </c>
      <c r="G871">
        <v>8.9600000000000009</v>
      </c>
      <c r="H871" t="str" cm="1">
        <f t="array" ref="H871">_xlfn.XLOOKUP(TRIM(C871),_xlfn.ANCHORARRAY($L$5),$M$5:$M$18)</f>
        <v>B. Halal Pro</v>
      </c>
      <c r="I871" t="str">
        <v>Viande hachée</v>
      </c>
      <c r="J871">
        <f t="shared" si="18"/>
        <v>5</v>
      </c>
    </row>
    <row r="872" spans="1:10" x14ac:dyDescent="0.25">
      <c r="A872" t="s">
        <v>1149</v>
      </c>
      <c r="B872" t="s">
        <v>1148</v>
      </c>
      <c r="C872" t="s">
        <v>100</v>
      </c>
      <c r="D872" t="s">
        <v>35</v>
      </c>
      <c r="E872">
        <v>8</v>
      </c>
      <c r="F872" t="s">
        <v>17</v>
      </c>
      <c r="G872">
        <v>7.63</v>
      </c>
      <c r="H872" t="str" cm="1">
        <f t="array" ref="H872">_xlfn.XLOOKUP(TRIM(C872),_xlfn.ANCHORARRAY($L$5),$M$5:$M$18)</f>
        <v>B. Halal Pro</v>
      </c>
      <c r="I872" t="str">
        <v>Poulet émincé</v>
      </c>
      <c r="J872">
        <f t="shared" si="18"/>
        <v>8</v>
      </c>
    </row>
    <row r="873" spans="1:10" x14ac:dyDescent="0.25">
      <c r="A873" t="s">
        <v>1150</v>
      </c>
      <c r="B873" t="s">
        <v>1148</v>
      </c>
      <c r="C873" t="s">
        <v>37</v>
      </c>
      <c r="D873" t="s">
        <v>38</v>
      </c>
      <c r="E873">
        <v>5</v>
      </c>
      <c r="F873" t="s">
        <v>39</v>
      </c>
      <c r="G873">
        <v>5.83</v>
      </c>
      <c r="H873" t="str" cm="1">
        <f t="array" ref="H873">_xlfn.XLOOKUP(TRIM(C873),_xlfn.ANCHORARRAY($L$5),$M$5:$M$18)</f>
        <v>Boul. Express</v>
      </c>
      <c r="I873" t="str">
        <v>Pain burger</v>
      </c>
      <c r="J873">
        <f t="shared" si="18"/>
        <v>5</v>
      </c>
    </row>
    <row r="874" spans="1:10" x14ac:dyDescent="0.25">
      <c r="A874" t="s">
        <v>1151</v>
      </c>
      <c r="B874" t="s">
        <v>1148</v>
      </c>
      <c r="C874" t="s">
        <v>41</v>
      </c>
      <c r="D874" t="s">
        <v>42</v>
      </c>
      <c r="E874">
        <v>8</v>
      </c>
      <c r="F874" t="s">
        <v>43</v>
      </c>
      <c r="G874">
        <v>3.82</v>
      </c>
      <c r="H874" t="str" cm="1">
        <f t="array" ref="H874">_xlfn.XLOOKUP(TRIM(C874),_xlfn.ANCHORARRAY($L$5),$M$5:$M$18)</f>
        <v>Boul. Express</v>
      </c>
      <c r="I874" t="str">
        <v>Pain pita</v>
      </c>
      <c r="J874">
        <f t="shared" si="18"/>
        <v>8</v>
      </c>
    </row>
    <row r="875" spans="1:10" x14ac:dyDescent="0.25">
      <c r="A875" t="s">
        <v>1152</v>
      </c>
      <c r="B875" t="s">
        <v>1153</v>
      </c>
      <c r="C875" t="s">
        <v>92</v>
      </c>
      <c r="D875" t="s">
        <v>55</v>
      </c>
      <c r="E875">
        <v>10</v>
      </c>
      <c r="F875" t="s">
        <v>17</v>
      </c>
      <c r="G875">
        <v>8.83</v>
      </c>
      <c r="H875" t="str" cm="1">
        <f t="array" ref="H875">_xlfn.XLOOKUP(TRIM(C875),_xlfn.ANCHORARRAY($L$5),$M$5:$M$18)</f>
        <v>Fromag. Centrale</v>
      </c>
      <c r="I875" t="str">
        <v>Mozzarella</v>
      </c>
      <c r="J875">
        <f t="shared" si="18"/>
        <v>10</v>
      </c>
    </row>
    <row r="876" spans="1:10" x14ac:dyDescent="0.25">
      <c r="A876" t="s">
        <v>1154</v>
      </c>
      <c r="B876" t="s">
        <v>1155</v>
      </c>
      <c r="C876" t="s">
        <v>97</v>
      </c>
      <c r="D876" t="s">
        <v>10</v>
      </c>
      <c r="E876">
        <v>3</v>
      </c>
      <c r="F876" t="s">
        <v>11</v>
      </c>
      <c r="G876">
        <v>14.45</v>
      </c>
      <c r="H876" t="str" cm="1">
        <f t="array" ref="H876">_xlfn.XLOOKUP(TRIM(C876),_xlfn.ANCHORARRAY($L$5),$M$5:$M$18)</f>
        <v>Metro</v>
      </c>
      <c r="I876" t="str">
        <v>Coca Cola</v>
      </c>
      <c r="J876">
        <f t="shared" si="18"/>
        <v>3</v>
      </c>
    </row>
    <row r="877" spans="1:10" x14ac:dyDescent="0.25">
      <c r="A877" t="s">
        <v>1156</v>
      </c>
      <c r="B877" t="s">
        <v>1155</v>
      </c>
      <c r="C877" t="s">
        <v>9</v>
      </c>
      <c r="D877" t="s">
        <v>14</v>
      </c>
      <c r="E877">
        <v>6</v>
      </c>
      <c r="F877" t="s">
        <v>11</v>
      </c>
      <c r="G877">
        <v>13.28</v>
      </c>
      <c r="H877" t="str" cm="1">
        <f t="array" ref="H877">_xlfn.XLOOKUP(TRIM(C877),_xlfn.ANCHORARRAY($L$5),$M$5:$M$18)</f>
        <v>Metro</v>
      </c>
      <c r="I877" t="str">
        <v>7up</v>
      </c>
      <c r="J877">
        <f t="shared" si="18"/>
        <v>6</v>
      </c>
    </row>
    <row r="878" spans="1:10" x14ac:dyDescent="0.25">
      <c r="A878" t="s">
        <v>1157</v>
      </c>
      <c r="B878" t="s">
        <v>1155</v>
      </c>
      <c r="C878" t="s">
        <v>59</v>
      </c>
      <c r="D878" t="s">
        <v>16</v>
      </c>
      <c r="E878">
        <v>6</v>
      </c>
      <c r="F878" t="s">
        <v>17</v>
      </c>
      <c r="G878">
        <v>1.25</v>
      </c>
      <c r="H878" t="str" cm="1">
        <f t="array" ref="H878">_xlfn.XLOOKUP(TRIM(C878),_xlfn.ANCHORARRAY($L$5),$M$5:$M$18)</f>
        <v>Metro</v>
      </c>
      <c r="I878" t="str">
        <v>Sel</v>
      </c>
      <c r="J878">
        <f t="shared" si="18"/>
        <v>6</v>
      </c>
    </row>
    <row r="879" spans="1:10" x14ac:dyDescent="0.25">
      <c r="A879" t="s">
        <v>1158</v>
      </c>
      <c r="B879" t="s">
        <v>1155</v>
      </c>
      <c r="C879" t="s">
        <v>19</v>
      </c>
      <c r="D879" t="s">
        <v>20</v>
      </c>
      <c r="E879">
        <v>4</v>
      </c>
      <c r="F879" t="s">
        <v>21</v>
      </c>
      <c r="G879">
        <v>4.05</v>
      </c>
      <c r="H879" t="str" cm="1">
        <f t="array" ref="H879">_xlfn.XLOOKUP(TRIM(C879),_xlfn.ANCHORARRAY($L$5),$M$5:$M$18)</f>
        <v>LEGUMEX</v>
      </c>
      <c r="I879" t="str">
        <v>Tomates pelées</v>
      </c>
      <c r="J879">
        <f t="shared" si="18"/>
        <v>4</v>
      </c>
    </row>
    <row r="880" spans="1:10" x14ac:dyDescent="0.25">
      <c r="A880" t="s">
        <v>1159</v>
      </c>
      <c r="B880" t="s">
        <v>1155</v>
      </c>
      <c r="C880" t="s">
        <v>19</v>
      </c>
      <c r="D880" t="s">
        <v>24</v>
      </c>
      <c r="E880">
        <v>10</v>
      </c>
      <c r="F880" t="s">
        <v>25</v>
      </c>
      <c r="G880">
        <v>21.2</v>
      </c>
      <c r="H880" t="str" cm="1">
        <f t="array" ref="H880">_xlfn.XLOOKUP(TRIM(C880),_xlfn.ANCHORARRAY($L$5),$M$5:$M$18)</f>
        <v>LEGUMEX</v>
      </c>
      <c r="I880" t="str">
        <v>Huile olive</v>
      </c>
      <c r="J880">
        <f t="shared" si="18"/>
        <v>10</v>
      </c>
    </row>
    <row r="881" spans="1:10" x14ac:dyDescent="0.25">
      <c r="A881" t="s">
        <v>1160</v>
      </c>
      <c r="B881" t="s">
        <v>1155</v>
      </c>
      <c r="C881" t="s">
        <v>23</v>
      </c>
      <c r="D881" t="s">
        <v>28</v>
      </c>
      <c r="E881">
        <v>10</v>
      </c>
      <c r="F881" t="s">
        <v>29</v>
      </c>
      <c r="G881">
        <v>9.5399999999999991</v>
      </c>
      <c r="H881" t="str" cm="1">
        <f t="array" ref="H881">_xlfn.XLOOKUP(TRIM(C881),_xlfn.ANCHORARRAY($L$5),$M$5:$M$18)</f>
        <v>LEGUMEX</v>
      </c>
      <c r="I881" t="str">
        <v>Sauce tomate</v>
      </c>
      <c r="J881">
        <f t="shared" si="18"/>
        <v>10</v>
      </c>
    </row>
    <row r="882" spans="1:10" x14ac:dyDescent="0.25">
      <c r="A882" t="s">
        <v>1161</v>
      </c>
      <c r="B882" t="s">
        <v>1162</v>
      </c>
      <c r="C882" t="s">
        <v>64</v>
      </c>
      <c r="D882" t="s">
        <v>33</v>
      </c>
      <c r="E882">
        <v>6</v>
      </c>
      <c r="F882" t="s">
        <v>17</v>
      </c>
      <c r="G882">
        <v>10.33</v>
      </c>
      <c r="H882" t="str" cm="1">
        <f t="array" ref="H882">_xlfn.XLOOKUP(TRIM(C882),_xlfn.ANCHORARRAY($L$5),$M$5:$M$18)</f>
        <v>B. Halal Pro</v>
      </c>
      <c r="I882" t="str">
        <v>Viande hachée</v>
      </c>
      <c r="J882">
        <f t="shared" si="18"/>
        <v>6</v>
      </c>
    </row>
    <row r="883" spans="1:10" x14ac:dyDescent="0.25">
      <c r="A883" t="s">
        <v>1163</v>
      </c>
      <c r="B883" t="s">
        <v>1162</v>
      </c>
      <c r="C883" t="s">
        <v>66</v>
      </c>
      <c r="D883" t="s">
        <v>35</v>
      </c>
      <c r="E883">
        <v>10</v>
      </c>
      <c r="F883" t="s">
        <v>17</v>
      </c>
      <c r="G883">
        <v>6.75</v>
      </c>
      <c r="H883" t="str" cm="1">
        <f t="array" ref="H883">_xlfn.XLOOKUP(TRIM(C883),_xlfn.ANCHORARRAY($L$5),$M$5:$M$18)</f>
        <v>B. Halal Pro</v>
      </c>
      <c r="I883" t="str">
        <v>Poulet émincé</v>
      </c>
      <c r="J883">
        <f t="shared" si="18"/>
        <v>10</v>
      </c>
    </row>
    <row r="884" spans="1:10" x14ac:dyDescent="0.25">
      <c r="A884" t="s">
        <v>1164</v>
      </c>
      <c r="B884" t="s">
        <v>1162</v>
      </c>
      <c r="C884" t="s">
        <v>41</v>
      </c>
      <c r="D884" t="s">
        <v>38</v>
      </c>
      <c r="F884" t="s">
        <v>39</v>
      </c>
      <c r="G884">
        <v>5.78</v>
      </c>
      <c r="H884" t="str" cm="1">
        <f t="array" ref="H884">_xlfn.XLOOKUP(TRIM(C884),_xlfn.ANCHORARRAY($L$5),$M$5:$M$18)</f>
        <v>Boul. Express</v>
      </c>
      <c r="I884" t="str">
        <v>Pain burger</v>
      </c>
      <c r="J884">
        <f t="shared" si="18"/>
        <v>12</v>
      </c>
    </row>
    <row r="885" spans="1:10" x14ac:dyDescent="0.25">
      <c r="A885" t="s">
        <v>1165</v>
      </c>
      <c r="B885" t="s">
        <v>1162</v>
      </c>
      <c r="C885" t="s">
        <v>83</v>
      </c>
      <c r="D885" t="s">
        <v>42</v>
      </c>
      <c r="E885">
        <v>10</v>
      </c>
      <c r="F885" t="s">
        <v>43</v>
      </c>
      <c r="G885">
        <v>4.05</v>
      </c>
      <c r="H885" t="str" cm="1">
        <f t="array" ref="H885">_xlfn.XLOOKUP(TRIM(C885),_xlfn.ANCHORARRAY($L$5),$M$5:$M$18)</f>
        <v>Boul. Express</v>
      </c>
      <c r="I885" t="str">
        <v>Pain pita</v>
      </c>
      <c r="J885">
        <f t="shared" si="18"/>
        <v>10</v>
      </c>
    </row>
    <row r="886" spans="1:10" x14ac:dyDescent="0.25">
      <c r="A886" t="s">
        <v>1166</v>
      </c>
      <c r="B886" t="s">
        <v>1167</v>
      </c>
      <c r="C886" t="s">
        <v>27</v>
      </c>
      <c r="D886" t="s">
        <v>20</v>
      </c>
      <c r="E886">
        <v>6</v>
      </c>
      <c r="F886" t="s">
        <v>21</v>
      </c>
      <c r="G886">
        <v>4.2300000000000004</v>
      </c>
      <c r="H886" t="str" cm="1">
        <f t="array" ref="H886">_xlfn.XLOOKUP(TRIM(C886),_xlfn.ANCHORARRAY($L$5),$M$5:$M$18)</f>
        <v>LEGUMEX</v>
      </c>
      <c r="I886" t="str">
        <v>Tomates pelées</v>
      </c>
      <c r="J886">
        <f t="shared" si="18"/>
        <v>6</v>
      </c>
    </row>
    <row r="887" spans="1:10" x14ac:dyDescent="0.25">
      <c r="A887" t="s">
        <v>1168</v>
      </c>
      <c r="B887" t="s">
        <v>1167</v>
      </c>
      <c r="C887" t="s">
        <v>23</v>
      </c>
      <c r="D887" t="s">
        <v>24</v>
      </c>
      <c r="F887" t="s">
        <v>25</v>
      </c>
      <c r="G887">
        <v>21.33</v>
      </c>
      <c r="H887" t="str" cm="1">
        <f t="array" ref="H887">_xlfn.XLOOKUP(TRIM(C887),_xlfn.ANCHORARRAY($L$5),$M$5:$M$18)</f>
        <v>LEGUMEX</v>
      </c>
      <c r="I887" t="str">
        <v>Huile olive</v>
      </c>
      <c r="J887">
        <f t="shared" si="18"/>
        <v>6</v>
      </c>
    </row>
    <row r="888" spans="1:10" x14ac:dyDescent="0.25">
      <c r="A888" t="s">
        <v>1169</v>
      </c>
      <c r="B888" t="s">
        <v>1167</v>
      </c>
      <c r="C888" t="s">
        <v>19</v>
      </c>
      <c r="D888" t="s">
        <v>28</v>
      </c>
      <c r="E888">
        <v>10</v>
      </c>
      <c r="F888" t="s">
        <v>29</v>
      </c>
      <c r="G888">
        <v>9.9499999999999993</v>
      </c>
      <c r="H888" t="str" cm="1">
        <f t="array" ref="H888">_xlfn.XLOOKUP(TRIM(C888),_xlfn.ANCHORARRAY($L$5),$M$5:$M$18)</f>
        <v>LEGUMEX</v>
      </c>
      <c r="I888" t="str">
        <v>Sauce tomate</v>
      </c>
      <c r="J888">
        <f t="shared" si="18"/>
        <v>10</v>
      </c>
    </row>
    <row r="889" spans="1:10" x14ac:dyDescent="0.25">
      <c r="A889" t="s">
        <v>1170</v>
      </c>
      <c r="B889" t="s">
        <v>1167</v>
      </c>
      <c r="C889" t="s">
        <v>152</v>
      </c>
      <c r="D889" t="s">
        <v>51</v>
      </c>
      <c r="E889">
        <v>3</v>
      </c>
      <c r="F889" t="s">
        <v>52</v>
      </c>
      <c r="G889">
        <v>17.88</v>
      </c>
      <c r="H889" t="str" cm="1">
        <f t="array" ref="H889">_xlfn.XLOOKUP(TRIM(C889),_xlfn.ANCHORARRAY($L$5),$M$5:$M$18)</f>
        <v>Moulin du Nord</v>
      </c>
      <c r="I889" t="str">
        <v>Farine</v>
      </c>
      <c r="J889">
        <f t="shared" si="18"/>
        <v>3</v>
      </c>
    </row>
    <row r="890" spans="1:10" x14ac:dyDescent="0.25">
      <c r="A890" t="s">
        <v>1171</v>
      </c>
      <c r="B890" t="s">
        <v>1167</v>
      </c>
      <c r="C890" t="s">
        <v>54</v>
      </c>
      <c r="D890" t="s">
        <v>55</v>
      </c>
      <c r="E890">
        <v>4</v>
      </c>
      <c r="F890" t="s">
        <v>17</v>
      </c>
      <c r="G890">
        <v>9.75</v>
      </c>
      <c r="H890" t="str" cm="1">
        <f t="array" ref="H890">_xlfn.XLOOKUP(TRIM(C890),_xlfn.ANCHORARRAY($L$5),$M$5:$M$18)</f>
        <v>Fromag. Centrale</v>
      </c>
      <c r="I890" t="str">
        <v>Mozzarella</v>
      </c>
      <c r="J890">
        <f t="shared" si="18"/>
        <v>4</v>
      </c>
    </row>
    <row r="891" spans="1:10" x14ac:dyDescent="0.25">
      <c r="A891" t="s">
        <v>1172</v>
      </c>
      <c r="B891" t="s">
        <v>1173</v>
      </c>
      <c r="C891" t="s">
        <v>61</v>
      </c>
      <c r="D891" t="s">
        <v>10</v>
      </c>
      <c r="E891">
        <v>6</v>
      </c>
      <c r="F891" t="s">
        <v>11</v>
      </c>
      <c r="G891">
        <v>14.49</v>
      </c>
      <c r="H891" t="str" cm="1">
        <f t="array" ref="H891">_xlfn.XLOOKUP(TRIM(C891),_xlfn.ANCHORARRAY($L$5),$M$5:$M$18)</f>
        <v>Metro</v>
      </c>
      <c r="I891" t="str">
        <v>Coca Cola</v>
      </c>
      <c r="J891">
        <f t="shared" si="18"/>
        <v>6</v>
      </c>
    </row>
    <row r="892" spans="1:10" x14ac:dyDescent="0.25">
      <c r="A892" t="s">
        <v>1174</v>
      </c>
      <c r="B892" t="s">
        <v>1173</v>
      </c>
      <c r="C892" t="s">
        <v>59</v>
      </c>
      <c r="D892" t="s">
        <v>14</v>
      </c>
      <c r="E892">
        <v>6</v>
      </c>
      <c r="F892" t="s">
        <v>11</v>
      </c>
      <c r="G892">
        <v>13.76</v>
      </c>
      <c r="H892" t="str" cm="1">
        <f t="array" ref="H892">_xlfn.XLOOKUP(TRIM(C892),_xlfn.ANCHORARRAY($L$5),$M$5:$M$18)</f>
        <v>Metro</v>
      </c>
      <c r="I892" t="str">
        <v>7up</v>
      </c>
      <c r="J892">
        <f t="shared" si="18"/>
        <v>6</v>
      </c>
    </row>
    <row r="893" spans="1:10" x14ac:dyDescent="0.25">
      <c r="A893" t="s">
        <v>1175</v>
      </c>
      <c r="B893" t="s">
        <v>1173</v>
      </c>
      <c r="C893" t="s">
        <v>59</v>
      </c>
      <c r="D893" t="s">
        <v>16</v>
      </c>
      <c r="E893">
        <v>6</v>
      </c>
      <c r="F893" t="s">
        <v>17</v>
      </c>
      <c r="G893">
        <v>1.2</v>
      </c>
      <c r="H893" t="str" cm="1">
        <f t="array" ref="H893">_xlfn.XLOOKUP(TRIM(C893),_xlfn.ANCHORARRAY($L$5),$M$5:$M$18)</f>
        <v>Metro</v>
      </c>
      <c r="I893" t="str">
        <v>Sel</v>
      </c>
      <c r="J893">
        <f t="shared" si="18"/>
        <v>6</v>
      </c>
    </row>
    <row r="894" spans="1:10" x14ac:dyDescent="0.25">
      <c r="A894" t="s">
        <v>1176</v>
      </c>
      <c r="B894" t="s">
        <v>1177</v>
      </c>
      <c r="C894" t="s">
        <v>64</v>
      </c>
      <c r="D894" t="s">
        <v>33</v>
      </c>
      <c r="F894" t="s">
        <v>17</v>
      </c>
      <c r="G894">
        <v>8.59</v>
      </c>
      <c r="H894" t="str" cm="1">
        <f t="array" ref="H894">_xlfn.XLOOKUP(TRIM(C894),_xlfn.ANCHORARRAY($L$5),$M$5:$M$18)</f>
        <v>B. Halal Pro</v>
      </c>
      <c r="I894" t="str">
        <v>Viande hachée</v>
      </c>
      <c r="J894">
        <f t="shared" si="18"/>
        <v>6</v>
      </c>
    </row>
    <row r="895" spans="1:10" x14ac:dyDescent="0.25">
      <c r="A895" t="s">
        <v>1178</v>
      </c>
      <c r="B895" t="s">
        <v>1177</v>
      </c>
      <c r="C895" t="s">
        <v>64</v>
      </c>
      <c r="D895" t="s">
        <v>35</v>
      </c>
      <c r="E895">
        <v>12</v>
      </c>
      <c r="F895" t="s">
        <v>17</v>
      </c>
      <c r="G895">
        <v>7.58</v>
      </c>
      <c r="H895" t="str" cm="1">
        <f t="array" ref="H895">_xlfn.XLOOKUP(TRIM(C895),_xlfn.ANCHORARRAY($L$5),$M$5:$M$18)</f>
        <v>B. Halal Pro</v>
      </c>
      <c r="I895" t="str">
        <v>Poulet émincé</v>
      </c>
      <c r="J895">
        <f t="shared" si="18"/>
        <v>12</v>
      </c>
    </row>
    <row r="896" spans="1:10" x14ac:dyDescent="0.25">
      <c r="A896" t="s">
        <v>1179</v>
      </c>
      <c r="B896" t="s">
        <v>1177</v>
      </c>
      <c r="C896" t="s">
        <v>37</v>
      </c>
      <c r="D896" t="s">
        <v>38</v>
      </c>
      <c r="E896">
        <v>8</v>
      </c>
      <c r="F896" t="s">
        <v>39</v>
      </c>
      <c r="G896">
        <v>5.99</v>
      </c>
      <c r="H896" t="str" cm="1">
        <f t="array" ref="H896">_xlfn.XLOOKUP(TRIM(C896),_xlfn.ANCHORARRAY($L$5),$M$5:$M$18)</f>
        <v>Boul. Express</v>
      </c>
      <c r="I896" t="str">
        <v>Pain burger</v>
      </c>
      <c r="J896">
        <f t="shared" si="18"/>
        <v>8</v>
      </c>
    </row>
    <row r="897" spans="1:10" x14ac:dyDescent="0.25">
      <c r="A897" t="s">
        <v>1180</v>
      </c>
      <c r="B897" t="s">
        <v>1177</v>
      </c>
      <c r="C897" t="s">
        <v>69</v>
      </c>
      <c r="D897" t="s">
        <v>42</v>
      </c>
      <c r="E897">
        <v>10</v>
      </c>
      <c r="F897" t="s">
        <v>43</v>
      </c>
      <c r="G897">
        <v>4.04</v>
      </c>
      <c r="H897" t="str" cm="1">
        <f t="array" ref="H897">_xlfn.XLOOKUP(TRIM(C897),_xlfn.ANCHORARRAY($L$5),$M$5:$M$18)</f>
        <v>Boul. Express</v>
      </c>
      <c r="I897" t="str">
        <v>Pain pita</v>
      </c>
      <c r="J897">
        <f t="shared" si="18"/>
        <v>10</v>
      </c>
    </row>
    <row r="898" spans="1:10" x14ac:dyDescent="0.25">
      <c r="A898" t="s">
        <v>1181</v>
      </c>
      <c r="B898" t="s">
        <v>1182</v>
      </c>
      <c r="C898" t="s">
        <v>92</v>
      </c>
      <c r="D898" t="s">
        <v>55</v>
      </c>
      <c r="E898">
        <v>8</v>
      </c>
      <c r="F898" t="s">
        <v>17</v>
      </c>
      <c r="G898">
        <v>9.57</v>
      </c>
      <c r="H898" t="str" cm="1">
        <f t="array" ref="H898">_xlfn.XLOOKUP(TRIM(C898),_xlfn.ANCHORARRAY($L$5),$M$5:$M$18)</f>
        <v>Fromag. Centrale</v>
      </c>
      <c r="I898" t="str">
        <v>Mozzarella</v>
      </c>
      <c r="J898">
        <f t="shared" ref="J898:J961" si="19">IF(E898&lt;&gt;0,E898,_xlfn.XLOOKUP(I898,$Q$5:$Q$16,$Y$5:$Y$16))</f>
        <v>8</v>
      </c>
    </row>
    <row r="899" spans="1:10" x14ac:dyDescent="0.25">
      <c r="A899" t="s">
        <v>1183</v>
      </c>
      <c r="B899" t="s">
        <v>1184</v>
      </c>
      <c r="C899" t="s">
        <v>61</v>
      </c>
      <c r="D899" t="s">
        <v>10</v>
      </c>
      <c r="E899">
        <v>6</v>
      </c>
      <c r="F899" t="s">
        <v>11</v>
      </c>
      <c r="G899">
        <v>14.9</v>
      </c>
      <c r="H899" t="str" cm="1">
        <f t="array" ref="H899">_xlfn.XLOOKUP(TRIM(C899),_xlfn.ANCHORARRAY($L$5),$M$5:$M$18)</f>
        <v>Metro</v>
      </c>
      <c r="I899" t="str">
        <v>Coca Cola</v>
      </c>
      <c r="J899">
        <f t="shared" si="19"/>
        <v>6</v>
      </c>
    </row>
    <row r="900" spans="1:10" x14ac:dyDescent="0.25">
      <c r="A900" t="s">
        <v>1185</v>
      </c>
      <c r="B900" t="s">
        <v>1184</v>
      </c>
      <c r="C900" t="s">
        <v>59</v>
      </c>
      <c r="D900" t="s">
        <v>14</v>
      </c>
      <c r="E900">
        <v>3</v>
      </c>
      <c r="F900" t="s">
        <v>11</v>
      </c>
      <c r="G900">
        <v>12.92</v>
      </c>
      <c r="H900" t="str" cm="1">
        <f t="array" ref="H900">_xlfn.XLOOKUP(TRIM(C900),_xlfn.ANCHORARRAY($L$5),$M$5:$M$18)</f>
        <v>Metro</v>
      </c>
      <c r="I900" t="str">
        <v>7up</v>
      </c>
      <c r="J900">
        <f t="shared" si="19"/>
        <v>3</v>
      </c>
    </row>
    <row r="901" spans="1:10" x14ac:dyDescent="0.25">
      <c r="A901" t="s">
        <v>1186</v>
      </c>
      <c r="B901" t="s">
        <v>1184</v>
      </c>
      <c r="C901" t="s">
        <v>9</v>
      </c>
      <c r="D901" t="s">
        <v>16</v>
      </c>
      <c r="E901">
        <v>5</v>
      </c>
      <c r="F901" t="s">
        <v>17</v>
      </c>
      <c r="G901">
        <v>1.2</v>
      </c>
      <c r="H901" t="str" cm="1">
        <f t="array" ref="H901">_xlfn.XLOOKUP(TRIM(C901),_xlfn.ANCHORARRAY($L$5),$M$5:$M$18)</f>
        <v>Metro</v>
      </c>
      <c r="I901" t="str">
        <v>Sel</v>
      </c>
      <c r="J901">
        <f t="shared" si="19"/>
        <v>5</v>
      </c>
    </row>
    <row r="902" spans="1:10" x14ac:dyDescent="0.25">
      <c r="A902" t="s">
        <v>1187</v>
      </c>
      <c r="B902" t="s">
        <v>1184</v>
      </c>
      <c r="C902" t="s">
        <v>46</v>
      </c>
      <c r="D902" t="s">
        <v>20</v>
      </c>
      <c r="E902">
        <v>8</v>
      </c>
      <c r="F902" t="s">
        <v>21</v>
      </c>
      <c r="G902">
        <v>4.29</v>
      </c>
      <c r="H902" t="str" cm="1">
        <f t="array" ref="H902">_xlfn.XLOOKUP(TRIM(C902),_xlfn.ANCHORARRAY($L$5),$M$5:$M$18)</f>
        <v>LEGUMEX</v>
      </c>
      <c r="I902" t="str">
        <v>Tomates pelées</v>
      </c>
      <c r="J902">
        <f t="shared" si="19"/>
        <v>8</v>
      </c>
    </row>
    <row r="903" spans="1:10" x14ac:dyDescent="0.25">
      <c r="A903" t="s">
        <v>1188</v>
      </c>
      <c r="B903" t="s">
        <v>1184</v>
      </c>
      <c r="C903" t="s">
        <v>27</v>
      </c>
      <c r="D903" t="s">
        <v>24</v>
      </c>
      <c r="E903">
        <v>10</v>
      </c>
      <c r="F903" t="s">
        <v>25</v>
      </c>
      <c r="G903">
        <v>23.47</v>
      </c>
      <c r="H903" t="str" cm="1">
        <f t="array" ref="H903">_xlfn.XLOOKUP(TRIM(C903),_xlfn.ANCHORARRAY($L$5),$M$5:$M$18)</f>
        <v>LEGUMEX</v>
      </c>
      <c r="I903" t="str">
        <v>Huile olive</v>
      </c>
      <c r="J903">
        <f t="shared" si="19"/>
        <v>10</v>
      </c>
    </row>
    <row r="904" spans="1:10" x14ac:dyDescent="0.25">
      <c r="A904" t="s">
        <v>1189</v>
      </c>
      <c r="B904" t="s">
        <v>1184</v>
      </c>
      <c r="C904" t="s">
        <v>23</v>
      </c>
      <c r="D904" t="s">
        <v>28</v>
      </c>
      <c r="E904">
        <v>6</v>
      </c>
      <c r="F904" t="s">
        <v>29</v>
      </c>
      <c r="G904">
        <v>9.4499999999999993</v>
      </c>
      <c r="H904" t="str" cm="1">
        <f t="array" ref="H904">_xlfn.XLOOKUP(TRIM(C904),_xlfn.ANCHORARRAY($L$5),$M$5:$M$18)</f>
        <v>LEGUMEX</v>
      </c>
      <c r="I904" t="str">
        <v>Sauce tomate</v>
      </c>
      <c r="J904">
        <f t="shared" si="19"/>
        <v>6</v>
      </c>
    </row>
    <row r="905" spans="1:10" x14ac:dyDescent="0.25">
      <c r="A905" t="s">
        <v>1190</v>
      </c>
      <c r="B905" t="s">
        <v>1191</v>
      </c>
      <c r="C905" t="s">
        <v>66</v>
      </c>
      <c r="D905" t="s">
        <v>33</v>
      </c>
      <c r="E905">
        <v>6</v>
      </c>
      <c r="F905" t="s">
        <v>17</v>
      </c>
      <c r="G905">
        <v>8.85</v>
      </c>
      <c r="H905" t="str" cm="1">
        <f t="array" ref="H905">_xlfn.XLOOKUP(TRIM(C905),_xlfn.ANCHORARRAY($L$5),$M$5:$M$18)</f>
        <v>B. Halal Pro</v>
      </c>
      <c r="I905" t="str">
        <v>Viande hachée</v>
      </c>
      <c r="J905">
        <f t="shared" si="19"/>
        <v>6</v>
      </c>
    </row>
    <row r="906" spans="1:10" x14ac:dyDescent="0.25">
      <c r="A906" t="s">
        <v>1192</v>
      </c>
      <c r="B906" t="s">
        <v>1191</v>
      </c>
      <c r="C906" t="s">
        <v>64</v>
      </c>
      <c r="D906" t="s">
        <v>35</v>
      </c>
      <c r="E906">
        <v>5</v>
      </c>
      <c r="F906" t="s">
        <v>17</v>
      </c>
      <c r="G906">
        <v>7.5</v>
      </c>
      <c r="H906" t="str" cm="1">
        <f t="array" ref="H906">_xlfn.XLOOKUP(TRIM(C906),_xlfn.ANCHORARRAY($L$5),$M$5:$M$18)</f>
        <v>B. Halal Pro</v>
      </c>
      <c r="I906" t="str">
        <v>Poulet émincé</v>
      </c>
      <c r="J906">
        <f t="shared" si="19"/>
        <v>5</v>
      </c>
    </row>
    <row r="907" spans="1:10" x14ac:dyDescent="0.25">
      <c r="A907" t="s">
        <v>1193</v>
      </c>
      <c r="B907" t="s">
        <v>1191</v>
      </c>
      <c r="C907" t="s">
        <v>41</v>
      </c>
      <c r="D907" t="s">
        <v>38</v>
      </c>
      <c r="E907">
        <v>12</v>
      </c>
      <c r="F907" t="s">
        <v>39</v>
      </c>
      <c r="G907">
        <v>5.95</v>
      </c>
      <c r="H907" t="str" cm="1">
        <f t="array" ref="H907">_xlfn.XLOOKUP(TRIM(C907),_xlfn.ANCHORARRAY($L$5),$M$5:$M$18)</f>
        <v>Boul. Express</v>
      </c>
      <c r="I907" t="str">
        <v>Pain burger</v>
      </c>
      <c r="J907">
        <f t="shared" si="19"/>
        <v>12</v>
      </c>
    </row>
    <row r="908" spans="1:10" x14ac:dyDescent="0.25">
      <c r="A908" t="s">
        <v>1194</v>
      </c>
      <c r="B908" t="s">
        <v>1191</v>
      </c>
      <c r="C908" t="s">
        <v>83</v>
      </c>
      <c r="D908" t="s">
        <v>42</v>
      </c>
      <c r="E908">
        <v>5</v>
      </c>
      <c r="F908" t="s">
        <v>43</v>
      </c>
      <c r="G908">
        <v>4.05</v>
      </c>
      <c r="H908" t="str" cm="1">
        <f t="array" ref="H908">_xlfn.XLOOKUP(TRIM(C908),_xlfn.ANCHORARRAY($L$5),$M$5:$M$18)</f>
        <v>Boul. Express</v>
      </c>
      <c r="I908" t="str">
        <v>Pain pita</v>
      </c>
      <c r="J908">
        <f t="shared" si="19"/>
        <v>5</v>
      </c>
    </row>
    <row r="909" spans="1:10" x14ac:dyDescent="0.25">
      <c r="A909" t="s">
        <v>1195</v>
      </c>
      <c r="B909" t="s">
        <v>1196</v>
      </c>
      <c r="C909" t="s">
        <v>27</v>
      </c>
      <c r="D909" t="s">
        <v>20</v>
      </c>
      <c r="E909">
        <v>10</v>
      </c>
      <c r="F909" t="s">
        <v>21</v>
      </c>
      <c r="G909">
        <v>4.29</v>
      </c>
      <c r="H909" t="str" cm="1">
        <f t="array" ref="H909">_xlfn.XLOOKUP(TRIM(C909),_xlfn.ANCHORARRAY($L$5),$M$5:$M$18)</f>
        <v>LEGUMEX</v>
      </c>
      <c r="I909" t="str">
        <v>Tomates pelées</v>
      </c>
      <c r="J909">
        <f t="shared" si="19"/>
        <v>10</v>
      </c>
    </row>
    <row r="910" spans="1:10" x14ac:dyDescent="0.25">
      <c r="A910" t="s">
        <v>1197</v>
      </c>
      <c r="B910" t="s">
        <v>1196</v>
      </c>
      <c r="C910" t="s">
        <v>23</v>
      </c>
      <c r="D910" t="s">
        <v>24</v>
      </c>
      <c r="E910">
        <v>6</v>
      </c>
      <c r="F910" t="s">
        <v>25</v>
      </c>
      <c r="G910">
        <v>23.54</v>
      </c>
      <c r="H910" t="str" cm="1">
        <f t="array" ref="H910">_xlfn.XLOOKUP(TRIM(C910),_xlfn.ANCHORARRAY($L$5),$M$5:$M$18)</f>
        <v>LEGUMEX</v>
      </c>
      <c r="I910" t="str">
        <v>Huile olive</v>
      </c>
      <c r="J910">
        <f t="shared" si="19"/>
        <v>6</v>
      </c>
    </row>
    <row r="911" spans="1:10" x14ac:dyDescent="0.25">
      <c r="A911" t="s">
        <v>1198</v>
      </c>
      <c r="B911" t="s">
        <v>1196</v>
      </c>
      <c r="C911" t="s">
        <v>19</v>
      </c>
      <c r="D911" t="s">
        <v>28</v>
      </c>
      <c r="E911">
        <v>6</v>
      </c>
      <c r="F911" t="s">
        <v>29</v>
      </c>
      <c r="G911">
        <v>10.24</v>
      </c>
      <c r="H911" t="str" cm="1">
        <f t="array" ref="H911">_xlfn.XLOOKUP(TRIM(C911),_xlfn.ANCHORARRAY($L$5),$M$5:$M$18)</f>
        <v>LEGUMEX</v>
      </c>
      <c r="I911" t="str">
        <v>Sauce tomate</v>
      </c>
      <c r="J911">
        <f t="shared" si="19"/>
        <v>6</v>
      </c>
    </row>
    <row r="912" spans="1:10" x14ac:dyDescent="0.25">
      <c r="A912" t="s">
        <v>1199</v>
      </c>
      <c r="B912" t="s">
        <v>1196</v>
      </c>
      <c r="C912" t="s">
        <v>242</v>
      </c>
      <c r="D912" t="s">
        <v>51</v>
      </c>
      <c r="E912">
        <v>3</v>
      </c>
      <c r="F912" t="s">
        <v>52</v>
      </c>
      <c r="G912">
        <v>18.600000000000001</v>
      </c>
      <c r="H912" t="str" cm="1">
        <f t="array" ref="H912">_xlfn.XLOOKUP(TRIM(C912),_xlfn.ANCHORARRAY($L$5),$M$5:$M$18)</f>
        <v>Moulin du Nord</v>
      </c>
      <c r="I912" t="str">
        <v>Farine</v>
      </c>
      <c r="J912">
        <f t="shared" si="19"/>
        <v>3</v>
      </c>
    </row>
    <row r="913" spans="1:10" x14ac:dyDescent="0.25">
      <c r="A913" t="s">
        <v>1200</v>
      </c>
      <c r="B913" t="s">
        <v>1196</v>
      </c>
      <c r="C913" t="s">
        <v>92</v>
      </c>
      <c r="D913" t="s">
        <v>55</v>
      </c>
      <c r="E913">
        <v>8</v>
      </c>
      <c r="F913" t="s">
        <v>17</v>
      </c>
      <c r="G913">
        <v>8.76</v>
      </c>
      <c r="H913" t="str" cm="1">
        <f t="array" ref="H913">_xlfn.XLOOKUP(TRIM(C913),_xlfn.ANCHORARRAY($L$5),$M$5:$M$18)</f>
        <v>Fromag. Centrale</v>
      </c>
      <c r="I913" t="str">
        <v>Mozzarella</v>
      </c>
      <c r="J913">
        <f t="shared" si="19"/>
        <v>8</v>
      </c>
    </row>
    <row r="914" spans="1:10" x14ac:dyDescent="0.25">
      <c r="A914" t="s">
        <v>1201</v>
      </c>
      <c r="B914" t="s">
        <v>1202</v>
      </c>
      <c r="C914" t="s">
        <v>59</v>
      </c>
      <c r="D914" t="s">
        <v>10</v>
      </c>
      <c r="E914">
        <v>4</v>
      </c>
      <c r="F914" t="s">
        <v>11</v>
      </c>
      <c r="G914">
        <v>14.15</v>
      </c>
      <c r="H914" t="str" cm="1">
        <f t="array" ref="H914">_xlfn.XLOOKUP(TRIM(C914),_xlfn.ANCHORARRAY($L$5),$M$5:$M$18)</f>
        <v>Metro</v>
      </c>
      <c r="I914" t="str">
        <v>Coca Cola</v>
      </c>
      <c r="J914">
        <f t="shared" si="19"/>
        <v>4</v>
      </c>
    </row>
    <row r="915" spans="1:10" x14ac:dyDescent="0.25">
      <c r="A915" t="s">
        <v>1203</v>
      </c>
      <c r="B915" t="s">
        <v>1202</v>
      </c>
      <c r="C915" t="s">
        <v>61</v>
      </c>
      <c r="D915" t="s">
        <v>14</v>
      </c>
      <c r="E915">
        <v>5</v>
      </c>
      <c r="F915" t="s">
        <v>11</v>
      </c>
      <c r="G915">
        <v>13.81</v>
      </c>
      <c r="H915" t="str" cm="1">
        <f t="array" ref="H915">_xlfn.XLOOKUP(TRIM(C915),_xlfn.ANCHORARRAY($L$5),$M$5:$M$18)</f>
        <v>Metro</v>
      </c>
      <c r="I915" t="str">
        <v>7up</v>
      </c>
      <c r="J915">
        <f t="shared" si="19"/>
        <v>5</v>
      </c>
    </row>
    <row r="916" spans="1:10" x14ac:dyDescent="0.25">
      <c r="A916" t="s">
        <v>1204</v>
      </c>
      <c r="B916" t="s">
        <v>1202</v>
      </c>
      <c r="C916" t="s">
        <v>97</v>
      </c>
      <c r="D916" t="s">
        <v>16</v>
      </c>
      <c r="E916">
        <v>4</v>
      </c>
      <c r="F916" t="s">
        <v>17</v>
      </c>
      <c r="G916">
        <v>1.19</v>
      </c>
      <c r="H916" t="str" cm="1">
        <f t="array" ref="H916">_xlfn.XLOOKUP(TRIM(C916),_xlfn.ANCHORARRAY($L$5),$M$5:$M$18)</f>
        <v>Metro</v>
      </c>
      <c r="I916" t="str">
        <v>Sel</v>
      </c>
      <c r="J916">
        <f t="shared" si="19"/>
        <v>4</v>
      </c>
    </row>
    <row r="917" spans="1:10" x14ac:dyDescent="0.25">
      <c r="A917" t="s">
        <v>1205</v>
      </c>
      <c r="B917" t="s">
        <v>1206</v>
      </c>
      <c r="C917" t="s">
        <v>32</v>
      </c>
      <c r="D917" t="s">
        <v>33</v>
      </c>
      <c r="E917">
        <v>6</v>
      </c>
      <c r="F917" t="s">
        <v>17</v>
      </c>
      <c r="G917">
        <v>9.93</v>
      </c>
      <c r="H917" t="str" cm="1">
        <f t="array" ref="H917">_xlfn.XLOOKUP(TRIM(C917),_xlfn.ANCHORARRAY($L$5),$M$5:$M$18)</f>
        <v>B. Halal Pro</v>
      </c>
      <c r="I917" t="str">
        <v>Viande hachée</v>
      </c>
      <c r="J917">
        <f t="shared" si="19"/>
        <v>6</v>
      </c>
    </row>
    <row r="918" spans="1:10" x14ac:dyDescent="0.25">
      <c r="A918" t="s">
        <v>1207</v>
      </c>
      <c r="B918" t="s">
        <v>1206</v>
      </c>
      <c r="C918" t="s">
        <v>100</v>
      </c>
      <c r="D918" t="s">
        <v>35</v>
      </c>
      <c r="E918">
        <v>8</v>
      </c>
      <c r="F918" t="s">
        <v>17</v>
      </c>
      <c r="G918">
        <v>7.2</v>
      </c>
      <c r="H918" t="str" cm="1">
        <f t="array" ref="H918">_xlfn.XLOOKUP(TRIM(C918),_xlfn.ANCHORARRAY($L$5),$M$5:$M$18)</f>
        <v>B. Halal Pro</v>
      </c>
      <c r="I918" t="str">
        <v>Poulet émincé</v>
      </c>
      <c r="J918">
        <f t="shared" si="19"/>
        <v>8</v>
      </c>
    </row>
    <row r="919" spans="1:10" x14ac:dyDescent="0.25">
      <c r="A919" t="s">
        <v>1208</v>
      </c>
      <c r="B919" t="s">
        <v>1206</v>
      </c>
      <c r="C919" t="s">
        <v>37</v>
      </c>
      <c r="D919" t="s">
        <v>38</v>
      </c>
      <c r="E919">
        <v>12</v>
      </c>
      <c r="F919" t="s">
        <v>39</v>
      </c>
      <c r="G919">
        <v>5.88</v>
      </c>
      <c r="H919" t="str" cm="1">
        <f t="array" ref="H919">_xlfn.XLOOKUP(TRIM(C919),_xlfn.ANCHORARRAY($L$5),$M$5:$M$18)</f>
        <v>Boul. Express</v>
      </c>
      <c r="I919" t="str">
        <v>Pain burger</v>
      </c>
      <c r="J919">
        <f t="shared" si="19"/>
        <v>12</v>
      </c>
    </row>
    <row r="920" spans="1:10" x14ac:dyDescent="0.25">
      <c r="A920" t="s">
        <v>1209</v>
      </c>
      <c r="B920" t="s">
        <v>1206</v>
      </c>
      <c r="C920" t="s">
        <v>37</v>
      </c>
      <c r="D920" t="s">
        <v>42</v>
      </c>
      <c r="E920">
        <v>12</v>
      </c>
      <c r="F920" t="s">
        <v>43</v>
      </c>
      <c r="G920">
        <v>4.03</v>
      </c>
      <c r="H920" t="str" cm="1">
        <f t="array" ref="H920">_xlfn.XLOOKUP(TRIM(C920),_xlfn.ANCHORARRAY($L$5),$M$5:$M$18)</f>
        <v>Boul. Express</v>
      </c>
      <c r="I920" t="str">
        <v>Pain pita</v>
      </c>
      <c r="J920">
        <f t="shared" si="19"/>
        <v>12</v>
      </c>
    </row>
    <row r="921" spans="1:10" x14ac:dyDescent="0.25">
      <c r="A921" t="s">
        <v>1210</v>
      </c>
      <c r="B921" t="s">
        <v>1211</v>
      </c>
      <c r="C921" t="s">
        <v>154</v>
      </c>
      <c r="D921" t="s">
        <v>55</v>
      </c>
      <c r="E921">
        <v>6</v>
      </c>
      <c r="F921" t="s">
        <v>17</v>
      </c>
      <c r="G921">
        <v>8.4</v>
      </c>
      <c r="H921" t="str" cm="1">
        <f t="array" ref="H921">_xlfn.XLOOKUP(TRIM(C921),_xlfn.ANCHORARRAY($L$5),$M$5:$M$18)</f>
        <v>Fromag. Centrale</v>
      </c>
      <c r="I921" t="str">
        <v>Mozzarella</v>
      </c>
      <c r="J921">
        <f t="shared" si="19"/>
        <v>6</v>
      </c>
    </row>
    <row r="922" spans="1:10" x14ac:dyDescent="0.25">
      <c r="A922" t="s">
        <v>1212</v>
      </c>
      <c r="B922" t="s">
        <v>1213</v>
      </c>
      <c r="C922" t="s">
        <v>9</v>
      </c>
      <c r="D922" t="s">
        <v>10</v>
      </c>
      <c r="E922">
        <v>4</v>
      </c>
      <c r="F922" t="s">
        <v>11</v>
      </c>
      <c r="G922">
        <v>14.31</v>
      </c>
      <c r="H922" t="str" cm="1">
        <f t="array" ref="H922">_xlfn.XLOOKUP(TRIM(C922),_xlfn.ANCHORARRAY($L$5),$M$5:$M$18)</f>
        <v>Metro</v>
      </c>
      <c r="I922" t="str">
        <v>Coca Cola</v>
      </c>
      <c r="J922">
        <f t="shared" si="19"/>
        <v>4</v>
      </c>
    </row>
    <row r="923" spans="1:10" x14ac:dyDescent="0.25">
      <c r="A923" t="s">
        <v>1214</v>
      </c>
      <c r="B923" t="s">
        <v>1213</v>
      </c>
      <c r="C923" t="s">
        <v>97</v>
      </c>
      <c r="D923" t="s">
        <v>14</v>
      </c>
      <c r="E923">
        <v>5</v>
      </c>
      <c r="F923" t="s">
        <v>11</v>
      </c>
      <c r="G923">
        <v>12.98</v>
      </c>
      <c r="H923" t="str" cm="1">
        <f t="array" ref="H923">_xlfn.XLOOKUP(TRIM(C923),_xlfn.ANCHORARRAY($L$5),$M$5:$M$18)</f>
        <v>Metro</v>
      </c>
      <c r="I923" t="str">
        <v>7up</v>
      </c>
      <c r="J923">
        <f t="shared" si="19"/>
        <v>5</v>
      </c>
    </row>
    <row r="924" spans="1:10" x14ac:dyDescent="0.25">
      <c r="A924" t="s">
        <v>1215</v>
      </c>
      <c r="B924" t="s">
        <v>1213</v>
      </c>
      <c r="C924" t="s">
        <v>97</v>
      </c>
      <c r="D924" t="s">
        <v>16</v>
      </c>
      <c r="E924">
        <v>4</v>
      </c>
      <c r="F924" t="s">
        <v>17</v>
      </c>
      <c r="G924">
        <v>1.25</v>
      </c>
      <c r="H924" t="str" cm="1">
        <f t="array" ref="H924">_xlfn.XLOOKUP(TRIM(C924),_xlfn.ANCHORARRAY($L$5),$M$5:$M$18)</f>
        <v>Metro</v>
      </c>
      <c r="I924" t="str">
        <v>Sel</v>
      </c>
      <c r="J924">
        <f t="shared" si="19"/>
        <v>4</v>
      </c>
    </row>
    <row r="925" spans="1:10" x14ac:dyDescent="0.25">
      <c r="A925" t="s">
        <v>1216</v>
      </c>
      <c r="B925" t="s">
        <v>1213</v>
      </c>
      <c r="C925" t="s">
        <v>23</v>
      </c>
      <c r="D925" t="s">
        <v>20</v>
      </c>
      <c r="E925">
        <v>6</v>
      </c>
      <c r="F925" t="s">
        <v>21</v>
      </c>
      <c r="G925">
        <v>4.05</v>
      </c>
      <c r="H925" t="str" cm="1">
        <f t="array" ref="H925">_xlfn.XLOOKUP(TRIM(C925),_xlfn.ANCHORARRAY($L$5),$M$5:$M$18)</f>
        <v>LEGUMEX</v>
      </c>
      <c r="I925" t="str">
        <v>Tomates pelées</v>
      </c>
      <c r="J925">
        <f t="shared" si="19"/>
        <v>6</v>
      </c>
    </row>
    <row r="926" spans="1:10" x14ac:dyDescent="0.25">
      <c r="A926" t="s">
        <v>1217</v>
      </c>
      <c r="B926" t="s">
        <v>1213</v>
      </c>
      <c r="C926" t="s">
        <v>23</v>
      </c>
      <c r="D926" t="s">
        <v>24</v>
      </c>
      <c r="E926">
        <v>8</v>
      </c>
      <c r="F926" t="s">
        <v>25</v>
      </c>
      <c r="G926">
        <v>21.58</v>
      </c>
      <c r="H926" t="str" cm="1">
        <f t="array" ref="H926">_xlfn.XLOOKUP(TRIM(C926),_xlfn.ANCHORARRAY($L$5),$M$5:$M$18)</f>
        <v>LEGUMEX</v>
      </c>
      <c r="I926" t="str">
        <v>Huile olive</v>
      </c>
      <c r="J926">
        <f t="shared" si="19"/>
        <v>8</v>
      </c>
    </row>
    <row r="927" spans="1:10" x14ac:dyDescent="0.25">
      <c r="A927" t="s">
        <v>1218</v>
      </c>
      <c r="B927" t="s">
        <v>1213</v>
      </c>
      <c r="C927" t="s">
        <v>27</v>
      </c>
      <c r="D927" t="s">
        <v>28</v>
      </c>
      <c r="E927">
        <v>10</v>
      </c>
      <c r="F927" t="s">
        <v>29</v>
      </c>
      <c r="G927">
        <v>10.49</v>
      </c>
      <c r="H927" t="str" cm="1">
        <f t="array" ref="H927">_xlfn.XLOOKUP(TRIM(C927),_xlfn.ANCHORARRAY($L$5),$M$5:$M$18)</f>
        <v>LEGUMEX</v>
      </c>
      <c r="I927" t="str">
        <v>Sauce tomate</v>
      </c>
      <c r="J927">
        <f t="shared" si="19"/>
        <v>10</v>
      </c>
    </row>
    <row r="928" spans="1:10" x14ac:dyDescent="0.25">
      <c r="A928" t="s">
        <v>1219</v>
      </c>
      <c r="B928" t="s">
        <v>1220</v>
      </c>
      <c r="C928" t="s">
        <v>32</v>
      </c>
      <c r="D928" t="s">
        <v>33</v>
      </c>
      <c r="F928" t="s">
        <v>17</v>
      </c>
      <c r="G928">
        <v>10.56</v>
      </c>
      <c r="H928" t="str" cm="1">
        <f t="array" ref="H928">_xlfn.XLOOKUP(TRIM(C928),_xlfn.ANCHORARRAY($L$5),$M$5:$M$18)</f>
        <v>B. Halal Pro</v>
      </c>
      <c r="I928" t="str">
        <v>Viande hachée</v>
      </c>
      <c r="J928">
        <f t="shared" si="19"/>
        <v>6</v>
      </c>
    </row>
    <row r="929" spans="1:10" x14ac:dyDescent="0.25">
      <c r="A929" t="s">
        <v>1221</v>
      </c>
      <c r="B929" t="s">
        <v>1220</v>
      </c>
      <c r="C929" t="s">
        <v>32</v>
      </c>
      <c r="D929" t="s">
        <v>35</v>
      </c>
      <c r="E929">
        <v>10</v>
      </c>
      <c r="F929" t="s">
        <v>17</v>
      </c>
      <c r="G929">
        <v>6.86</v>
      </c>
      <c r="H929" t="str" cm="1">
        <f t="array" ref="H929">_xlfn.XLOOKUP(TRIM(C929),_xlfn.ANCHORARRAY($L$5),$M$5:$M$18)</f>
        <v>B. Halal Pro</v>
      </c>
      <c r="I929" t="str">
        <v>Poulet émincé</v>
      </c>
      <c r="J929">
        <f t="shared" si="19"/>
        <v>10</v>
      </c>
    </row>
    <row r="930" spans="1:10" x14ac:dyDescent="0.25">
      <c r="A930" t="s">
        <v>1222</v>
      </c>
      <c r="B930" t="s">
        <v>1220</v>
      </c>
      <c r="C930" t="s">
        <v>37</v>
      </c>
      <c r="D930" t="s">
        <v>38</v>
      </c>
      <c r="E930">
        <v>8</v>
      </c>
      <c r="F930" t="s">
        <v>39</v>
      </c>
      <c r="G930">
        <v>5.95</v>
      </c>
      <c r="H930" t="str" cm="1">
        <f t="array" ref="H930">_xlfn.XLOOKUP(TRIM(C930),_xlfn.ANCHORARRAY($L$5),$M$5:$M$18)</f>
        <v>Boul. Express</v>
      </c>
      <c r="I930" t="str">
        <v>Pain burger</v>
      </c>
      <c r="J930">
        <f t="shared" si="19"/>
        <v>8</v>
      </c>
    </row>
    <row r="931" spans="1:10" x14ac:dyDescent="0.25">
      <c r="A931" t="s">
        <v>1223</v>
      </c>
      <c r="B931" t="s">
        <v>1220</v>
      </c>
      <c r="C931" t="s">
        <v>83</v>
      </c>
      <c r="D931" t="s">
        <v>42</v>
      </c>
      <c r="E931">
        <v>8</v>
      </c>
      <c r="F931" t="s">
        <v>43</v>
      </c>
      <c r="G931">
        <v>3.89</v>
      </c>
      <c r="H931" t="str" cm="1">
        <f t="array" ref="H931">_xlfn.XLOOKUP(TRIM(C931),_xlfn.ANCHORARRAY($L$5),$M$5:$M$18)</f>
        <v>Boul. Express</v>
      </c>
      <c r="I931" t="str">
        <v>Pain pita</v>
      </c>
      <c r="J931">
        <f t="shared" si="19"/>
        <v>8</v>
      </c>
    </row>
    <row r="932" spans="1:10" x14ac:dyDescent="0.25">
      <c r="A932" t="s">
        <v>1224</v>
      </c>
      <c r="B932" t="s">
        <v>1225</v>
      </c>
      <c r="C932" t="s">
        <v>27</v>
      </c>
      <c r="D932" t="s">
        <v>20</v>
      </c>
      <c r="E932">
        <v>6</v>
      </c>
      <c r="F932" t="s">
        <v>21</v>
      </c>
      <c r="G932">
        <v>4.09</v>
      </c>
      <c r="H932" t="str" cm="1">
        <f t="array" ref="H932">_xlfn.XLOOKUP(TRIM(C932),_xlfn.ANCHORARRAY($L$5),$M$5:$M$18)</f>
        <v>LEGUMEX</v>
      </c>
      <c r="I932" t="str">
        <v>Tomates pelées</v>
      </c>
      <c r="J932">
        <f t="shared" si="19"/>
        <v>6</v>
      </c>
    </row>
    <row r="933" spans="1:10" x14ac:dyDescent="0.25">
      <c r="A933" t="s">
        <v>1226</v>
      </c>
      <c r="B933" t="s">
        <v>1225</v>
      </c>
      <c r="C933" t="s">
        <v>27</v>
      </c>
      <c r="D933" t="s">
        <v>24</v>
      </c>
      <c r="E933">
        <v>10</v>
      </c>
      <c r="F933" t="s">
        <v>25</v>
      </c>
      <c r="G933">
        <v>21.98</v>
      </c>
      <c r="H933" t="str" cm="1">
        <f t="array" ref="H933">_xlfn.XLOOKUP(TRIM(C933),_xlfn.ANCHORARRAY($L$5),$M$5:$M$18)</f>
        <v>LEGUMEX</v>
      </c>
      <c r="I933" t="str">
        <v>Huile olive</v>
      </c>
      <c r="J933">
        <f t="shared" si="19"/>
        <v>10</v>
      </c>
    </row>
    <row r="934" spans="1:10" x14ac:dyDescent="0.25">
      <c r="A934" t="s">
        <v>1227</v>
      </c>
      <c r="B934" t="s">
        <v>1225</v>
      </c>
      <c r="C934" t="s">
        <v>46</v>
      </c>
      <c r="D934" t="s">
        <v>28</v>
      </c>
      <c r="F934" t="s">
        <v>29</v>
      </c>
      <c r="G934">
        <v>9.48</v>
      </c>
      <c r="H934" t="str" cm="1">
        <f t="array" ref="H934">_xlfn.XLOOKUP(TRIM(C934),_xlfn.ANCHORARRAY($L$5),$M$5:$M$18)</f>
        <v>LEGUMEX</v>
      </c>
      <c r="I934" t="str">
        <v>Sauce tomate</v>
      </c>
      <c r="J934">
        <f t="shared" si="19"/>
        <v>8</v>
      </c>
    </row>
    <row r="935" spans="1:10" x14ac:dyDescent="0.25">
      <c r="A935" t="s">
        <v>1228</v>
      </c>
      <c r="B935" t="s">
        <v>1225</v>
      </c>
      <c r="C935" t="s">
        <v>50</v>
      </c>
      <c r="D935" t="s">
        <v>51</v>
      </c>
      <c r="E935">
        <v>2</v>
      </c>
      <c r="F935" t="s">
        <v>52</v>
      </c>
      <c r="G935">
        <v>18.940000000000001</v>
      </c>
      <c r="H935" t="str" cm="1">
        <f t="array" ref="H935">_xlfn.XLOOKUP(TRIM(C935),_xlfn.ANCHORARRAY($L$5),$M$5:$M$18)</f>
        <v>Moulin du Nord</v>
      </c>
      <c r="I935" t="str">
        <v>Farine</v>
      </c>
      <c r="J935">
        <f t="shared" si="19"/>
        <v>2</v>
      </c>
    </row>
    <row r="936" spans="1:10" x14ac:dyDescent="0.25">
      <c r="A936" t="s">
        <v>1229</v>
      </c>
      <c r="B936" t="s">
        <v>1225</v>
      </c>
      <c r="C936" t="s">
        <v>54</v>
      </c>
      <c r="D936" t="s">
        <v>55</v>
      </c>
      <c r="E936">
        <v>8</v>
      </c>
      <c r="F936" t="s">
        <v>17</v>
      </c>
      <c r="G936">
        <v>9.2200000000000006</v>
      </c>
      <c r="H936" t="str" cm="1">
        <f t="array" ref="H936">_xlfn.XLOOKUP(TRIM(C936),_xlfn.ANCHORARRAY($L$5),$M$5:$M$18)</f>
        <v>Fromag. Centrale</v>
      </c>
      <c r="I936" t="str">
        <v>Mozzarella</v>
      </c>
      <c r="J936">
        <f t="shared" si="19"/>
        <v>8</v>
      </c>
    </row>
    <row r="937" spans="1:10" x14ac:dyDescent="0.25">
      <c r="A937" t="s">
        <v>1230</v>
      </c>
      <c r="B937" t="s">
        <v>1231</v>
      </c>
      <c r="C937" t="s">
        <v>61</v>
      </c>
      <c r="D937" t="s">
        <v>10</v>
      </c>
      <c r="E937">
        <v>5</v>
      </c>
      <c r="F937" t="s">
        <v>11</v>
      </c>
      <c r="G937">
        <v>14.06</v>
      </c>
      <c r="H937" t="str" cm="1">
        <f t="array" ref="H937">_xlfn.XLOOKUP(TRIM(C937),_xlfn.ANCHORARRAY($L$5),$M$5:$M$18)</f>
        <v>Metro</v>
      </c>
      <c r="I937" t="str">
        <v>Coca Cola</v>
      </c>
      <c r="J937">
        <f t="shared" si="19"/>
        <v>5</v>
      </c>
    </row>
    <row r="938" spans="1:10" x14ac:dyDescent="0.25">
      <c r="A938" t="s">
        <v>1232</v>
      </c>
      <c r="B938" t="s">
        <v>1231</v>
      </c>
      <c r="C938" t="s">
        <v>61</v>
      </c>
      <c r="D938" t="s">
        <v>14</v>
      </c>
      <c r="E938">
        <v>4</v>
      </c>
      <c r="F938" t="s">
        <v>11</v>
      </c>
      <c r="G938">
        <v>13.94</v>
      </c>
      <c r="H938" t="str" cm="1">
        <f t="array" ref="H938">_xlfn.XLOOKUP(TRIM(C938),_xlfn.ANCHORARRAY($L$5),$M$5:$M$18)</f>
        <v>Metro</v>
      </c>
      <c r="I938" t="str">
        <v>7up</v>
      </c>
      <c r="J938">
        <f t="shared" si="19"/>
        <v>4</v>
      </c>
    </row>
    <row r="939" spans="1:10" x14ac:dyDescent="0.25">
      <c r="A939" t="s">
        <v>1233</v>
      </c>
      <c r="B939" t="s">
        <v>1231</v>
      </c>
      <c r="C939" t="s">
        <v>61</v>
      </c>
      <c r="D939" t="s">
        <v>16</v>
      </c>
      <c r="E939">
        <v>4</v>
      </c>
      <c r="F939" t="s">
        <v>17</v>
      </c>
      <c r="G939">
        <v>1.21</v>
      </c>
      <c r="H939" t="str" cm="1">
        <f t="array" ref="H939">_xlfn.XLOOKUP(TRIM(C939),_xlfn.ANCHORARRAY($L$5),$M$5:$M$18)</f>
        <v>Metro</v>
      </c>
      <c r="I939" t="str">
        <v>Sel</v>
      </c>
      <c r="J939">
        <f t="shared" si="19"/>
        <v>4</v>
      </c>
    </row>
    <row r="940" spans="1:10" x14ac:dyDescent="0.25">
      <c r="A940" t="s">
        <v>1234</v>
      </c>
      <c r="B940" t="s">
        <v>1235</v>
      </c>
      <c r="C940" t="s">
        <v>64</v>
      </c>
      <c r="D940" t="s">
        <v>33</v>
      </c>
      <c r="E940">
        <v>6</v>
      </c>
      <c r="F940" t="s">
        <v>17</v>
      </c>
      <c r="G940">
        <v>9.16</v>
      </c>
      <c r="H940" t="str" cm="1">
        <f t="array" ref="H940">_xlfn.XLOOKUP(TRIM(C940),_xlfn.ANCHORARRAY($L$5),$M$5:$M$18)</f>
        <v>B. Halal Pro</v>
      </c>
      <c r="I940" t="str">
        <v>Viande hachée</v>
      </c>
      <c r="J940">
        <f t="shared" si="19"/>
        <v>6</v>
      </c>
    </row>
    <row r="941" spans="1:10" x14ac:dyDescent="0.25">
      <c r="A941" t="s">
        <v>1236</v>
      </c>
      <c r="B941" t="s">
        <v>1235</v>
      </c>
      <c r="C941" t="s">
        <v>32</v>
      </c>
      <c r="D941" t="s">
        <v>35</v>
      </c>
      <c r="E941">
        <v>6</v>
      </c>
      <c r="F941" t="s">
        <v>17</v>
      </c>
      <c r="G941">
        <v>7.04</v>
      </c>
      <c r="H941" t="str" cm="1">
        <f t="array" ref="H941">_xlfn.XLOOKUP(TRIM(C941),_xlfn.ANCHORARRAY($L$5),$M$5:$M$18)</f>
        <v>B. Halal Pro</v>
      </c>
      <c r="I941" t="str">
        <v>Poulet émincé</v>
      </c>
      <c r="J941">
        <f t="shared" si="19"/>
        <v>6</v>
      </c>
    </row>
    <row r="942" spans="1:10" x14ac:dyDescent="0.25">
      <c r="A942" t="s">
        <v>1237</v>
      </c>
      <c r="B942" t="s">
        <v>1235</v>
      </c>
      <c r="C942" t="s">
        <v>69</v>
      </c>
      <c r="D942" t="s">
        <v>38</v>
      </c>
      <c r="E942">
        <v>5</v>
      </c>
      <c r="F942" t="s">
        <v>39</v>
      </c>
      <c r="G942">
        <v>6.03</v>
      </c>
      <c r="H942" t="str" cm="1">
        <f t="array" ref="H942">_xlfn.XLOOKUP(TRIM(C942),_xlfn.ANCHORARRAY($L$5),$M$5:$M$18)</f>
        <v>Boul. Express</v>
      </c>
      <c r="I942" t="str">
        <v>Pain burger</v>
      </c>
      <c r="J942">
        <f t="shared" si="19"/>
        <v>5</v>
      </c>
    </row>
    <row r="943" spans="1:10" x14ac:dyDescent="0.25">
      <c r="A943" t="s">
        <v>1238</v>
      </c>
      <c r="B943" t="s">
        <v>1235</v>
      </c>
      <c r="C943" t="s">
        <v>37</v>
      </c>
      <c r="D943" t="s">
        <v>42</v>
      </c>
      <c r="E943">
        <v>8</v>
      </c>
      <c r="F943" t="s">
        <v>43</v>
      </c>
      <c r="G943">
        <v>3.93</v>
      </c>
      <c r="H943" t="str" cm="1">
        <f t="array" ref="H943">_xlfn.XLOOKUP(TRIM(C943),_xlfn.ANCHORARRAY($L$5),$M$5:$M$18)</f>
        <v>Boul. Express</v>
      </c>
      <c r="I943" t="str">
        <v>Pain pita</v>
      </c>
      <c r="J943">
        <f t="shared" si="19"/>
        <v>8</v>
      </c>
    </row>
    <row r="944" spans="1:10" x14ac:dyDescent="0.25">
      <c r="A944" t="s">
        <v>1239</v>
      </c>
      <c r="B944" t="s">
        <v>1240</v>
      </c>
      <c r="C944" t="s">
        <v>54</v>
      </c>
      <c r="D944" t="s">
        <v>55</v>
      </c>
      <c r="E944">
        <v>4</v>
      </c>
      <c r="F944" t="s">
        <v>17</v>
      </c>
      <c r="G944">
        <v>8.91</v>
      </c>
      <c r="H944" t="str" cm="1">
        <f t="array" ref="H944">_xlfn.XLOOKUP(TRIM(C944),_xlfn.ANCHORARRAY($L$5),$M$5:$M$18)</f>
        <v>Fromag. Centrale</v>
      </c>
      <c r="I944" t="str">
        <v>Mozzarella</v>
      </c>
      <c r="J944">
        <f t="shared" si="19"/>
        <v>4</v>
      </c>
    </row>
    <row r="945" spans="1:10" x14ac:dyDescent="0.25">
      <c r="A945" t="s">
        <v>1241</v>
      </c>
      <c r="B945" t="s">
        <v>1242</v>
      </c>
      <c r="C945" t="s">
        <v>61</v>
      </c>
      <c r="D945" t="s">
        <v>10</v>
      </c>
      <c r="E945">
        <v>5</v>
      </c>
      <c r="F945" t="s">
        <v>11</v>
      </c>
      <c r="G945">
        <v>14</v>
      </c>
      <c r="H945" t="str" cm="1">
        <f t="array" ref="H945">_xlfn.XLOOKUP(TRIM(C945),_xlfn.ANCHORARRAY($L$5),$M$5:$M$18)</f>
        <v>Metro</v>
      </c>
      <c r="I945" t="str">
        <v>Coca Cola</v>
      </c>
      <c r="J945">
        <f t="shared" si="19"/>
        <v>5</v>
      </c>
    </row>
    <row r="946" spans="1:10" x14ac:dyDescent="0.25">
      <c r="A946" t="s">
        <v>1243</v>
      </c>
      <c r="B946" t="s">
        <v>1242</v>
      </c>
      <c r="C946" t="s">
        <v>97</v>
      </c>
      <c r="D946" t="s">
        <v>14</v>
      </c>
      <c r="E946">
        <v>6</v>
      </c>
      <c r="F946" t="s">
        <v>11</v>
      </c>
      <c r="G946">
        <v>13.38</v>
      </c>
      <c r="H946" t="str" cm="1">
        <f t="array" ref="H946">_xlfn.XLOOKUP(TRIM(C946),_xlfn.ANCHORARRAY($L$5),$M$5:$M$18)</f>
        <v>Metro</v>
      </c>
      <c r="I946" t="str">
        <v>7up</v>
      </c>
      <c r="J946">
        <f t="shared" si="19"/>
        <v>6</v>
      </c>
    </row>
    <row r="947" spans="1:10" x14ac:dyDescent="0.25">
      <c r="A947" t="s">
        <v>1244</v>
      </c>
      <c r="B947" t="s">
        <v>1242</v>
      </c>
      <c r="C947" t="s">
        <v>13</v>
      </c>
      <c r="D947" t="s">
        <v>16</v>
      </c>
      <c r="E947">
        <v>5</v>
      </c>
      <c r="F947" t="s">
        <v>17</v>
      </c>
      <c r="G947">
        <v>1.22</v>
      </c>
      <c r="H947" t="str" cm="1">
        <f t="array" ref="H947">_xlfn.XLOOKUP(TRIM(C947),_xlfn.ANCHORARRAY($L$5),$M$5:$M$18)</f>
        <v>Metro</v>
      </c>
      <c r="I947" t="str">
        <v>Sel</v>
      </c>
      <c r="J947">
        <f t="shared" si="19"/>
        <v>5</v>
      </c>
    </row>
    <row r="948" spans="1:10" x14ac:dyDescent="0.25">
      <c r="A948" t="s">
        <v>1245</v>
      </c>
      <c r="B948" t="s">
        <v>1242</v>
      </c>
      <c r="C948" t="s">
        <v>19</v>
      </c>
      <c r="D948" t="s">
        <v>20</v>
      </c>
      <c r="E948">
        <v>4</v>
      </c>
      <c r="F948" t="s">
        <v>21</v>
      </c>
      <c r="G948">
        <v>4.5199999999999996</v>
      </c>
      <c r="H948" t="str" cm="1">
        <f t="array" ref="H948">_xlfn.XLOOKUP(TRIM(C948),_xlfn.ANCHORARRAY($L$5),$M$5:$M$18)</f>
        <v>LEGUMEX</v>
      </c>
      <c r="I948" t="str">
        <v>Tomates pelées</v>
      </c>
      <c r="J948">
        <f t="shared" si="19"/>
        <v>4</v>
      </c>
    </row>
    <row r="949" spans="1:10" x14ac:dyDescent="0.25">
      <c r="A949" t="s">
        <v>1246</v>
      </c>
      <c r="B949" t="s">
        <v>1242</v>
      </c>
      <c r="C949" t="s">
        <v>19</v>
      </c>
      <c r="D949" t="s">
        <v>24</v>
      </c>
      <c r="E949">
        <v>6</v>
      </c>
      <c r="F949" t="s">
        <v>25</v>
      </c>
      <c r="G949">
        <v>22.82</v>
      </c>
      <c r="H949" t="str" cm="1">
        <f t="array" ref="H949">_xlfn.XLOOKUP(TRIM(C949),_xlfn.ANCHORARRAY($L$5),$M$5:$M$18)</f>
        <v>LEGUMEX</v>
      </c>
      <c r="I949" t="str">
        <v>Huile olive</v>
      </c>
      <c r="J949">
        <f t="shared" si="19"/>
        <v>6</v>
      </c>
    </row>
    <row r="950" spans="1:10" x14ac:dyDescent="0.25">
      <c r="A950" t="s">
        <v>1247</v>
      </c>
      <c r="B950" t="s">
        <v>1242</v>
      </c>
      <c r="C950" t="s">
        <v>23</v>
      </c>
      <c r="D950" t="s">
        <v>28</v>
      </c>
      <c r="E950">
        <v>6</v>
      </c>
      <c r="F950" t="s">
        <v>29</v>
      </c>
      <c r="G950">
        <v>10.37</v>
      </c>
      <c r="H950" t="str" cm="1">
        <f t="array" ref="H950">_xlfn.XLOOKUP(TRIM(C950),_xlfn.ANCHORARRAY($L$5),$M$5:$M$18)</f>
        <v>LEGUMEX</v>
      </c>
      <c r="I950" t="str">
        <v>Sauce tomate</v>
      </c>
      <c r="J950">
        <f t="shared" si="19"/>
        <v>6</v>
      </c>
    </row>
    <row r="951" spans="1:10" x14ac:dyDescent="0.25">
      <c r="A951" t="s">
        <v>1248</v>
      </c>
      <c r="B951" t="s">
        <v>1249</v>
      </c>
      <c r="C951" t="s">
        <v>66</v>
      </c>
      <c r="D951" t="s">
        <v>33</v>
      </c>
      <c r="E951">
        <v>5</v>
      </c>
      <c r="F951" t="s">
        <v>17</v>
      </c>
      <c r="G951">
        <v>9.83</v>
      </c>
      <c r="H951" t="str" cm="1">
        <f t="array" ref="H951">_xlfn.XLOOKUP(TRIM(C951),_xlfn.ANCHORARRAY($L$5),$M$5:$M$18)</f>
        <v>B. Halal Pro</v>
      </c>
      <c r="I951" t="str">
        <v>Viande hachée</v>
      </c>
      <c r="J951">
        <f t="shared" si="19"/>
        <v>5</v>
      </c>
    </row>
    <row r="952" spans="1:10" x14ac:dyDescent="0.25">
      <c r="A952" t="s">
        <v>1250</v>
      </c>
      <c r="B952" t="s">
        <v>1249</v>
      </c>
      <c r="C952" t="s">
        <v>100</v>
      </c>
      <c r="D952" t="s">
        <v>35</v>
      </c>
      <c r="F952" t="s">
        <v>17</v>
      </c>
      <c r="G952">
        <v>6.65</v>
      </c>
      <c r="H952" t="str" cm="1">
        <f t="array" ref="H952">_xlfn.XLOOKUP(TRIM(C952),_xlfn.ANCHORARRAY($L$5),$M$5:$M$18)</f>
        <v>B. Halal Pro</v>
      </c>
      <c r="I952" t="str">
        <v>Poulet émincé</v>
      </c>
      <c r="J952">
        <f t="shared" si="19"/>
        <v>6</v>
      </c>
    </row>
    <row r="953" spans="1:10" x14ac:dyDescent="0.25">
      <c r="A953" t="s">
        <v>1251</v>
      </c>
      <c r="B953" t="s">
        <v>1249</v>
      </c>
      <c r="C953" t="s">
        <v>41</v>
      </c>
      <c r="D953" t="s">
        <v>38</v>
      </c>
      <c r="E953">
        <v>10</v>
      </c>
      <c r="F953" t="s">
        <v>39</v>
      </c>
      <c r="G953">
        <v>5.7</v>
      </c>
      <c r="H953" t="str" cm="1">
        <f t="array" ref="H953">_xlfn.XLOOKUP(TRIM(C953),_xlfn.ANCHORARRAY($L$5),$M$5:$M$18)</f>
        <v>Boul. Express</v>
      </c>
      <c r="I953" t="str">
        <v>Pain burger</v>
      </c>
      <c r="J953">
        <f t="shared" si="19"/>
        <v>10</v>
      </c>
    </row>
    <row r="954" spans="1:10" x14ac:dyDescent="0.25">
      <c r="A954" t="s">
        <v>1252</v>
      </c>
      <c r="B954" t="s">
        <v>1249</v>
      </c>
      <c r="C954" t="s">
        <v>83</v>
      </c>
      <c r="D954" t="s">
        <v>42</v>
      </c>
      <c r="E954">
        <v>12</v>
      </c>
      <c r="F954" t="s">
        <v>43</v>
      </c>
      <c r="G954">
        <v>4.04</v>
      </c>
      <c r="H954" t="str" cm="1">
        <f t="array" ref="H954">_xlfn.XLOOKUP(TRIM(C954),_xlfn.ANCHORARRAY($L$5),$M$5:$M$18)</f>
        <v>Boul. Express</v>
      </c>
      <c r="I954" t="str">
        <v>Pain pita</v>
      </c>
      <c r="J954">
        <f t="shared" si="19"/>
        <v>12</v>
      </c>
    </row>
    <row r="955" spans="1:10" x14ac:dyDescent="0.25">
      <c r="A955" t="s">
        <v>1253</v>
      </c>
      <c r="B955" t="s">
        <v>1254</v>
      </c>
      <c r="C955" t="s">
        <v>23</v>
      </c>
      <c r="D955" t="s">
        <v>20</v>
      </c>
      <c r="E955">
        <v>4</v>
      </c>
      <c r="F955" t="s">
        <v>21</v>
      </c>
      <c r="G955">
        <v>4.2300000000000004</v>
      </c>
      <c r="H955" t="str" cm="1">
        <f t="array" ref="H955">_xlfn.XLOOKUP(TRIM(C955),_xlfn.ANCHORARRAY($L$5),$M$5:$M$18)</f>
        <v>LEGUMEX</v>
      </c>
      <c r="I955" t="str">
        <v>Tomates pelées</v>
      </c>
      <c r="J955">
        <f t="shared" si="19"/>
        <v>4</v>
      </c>
    </row>
    <row r="956" spans="1:10" x14ac:dyDescent="0.25">
      <c r="A956" t="s">
        <v>1255</v>
      </c>
      <c r="B956" t="s">
        <v>1254</v>
      </c>
      <c r="C956" t="s">
        <v>27</v>
      </c>
      <c r="D956" t="s">
        <v>24</v>
      </c>
      <c r="E956">
        <v>4</v>
      </c>
      <c r="F956" t="s">
        <v>25</v>
      </c>
      <c r="G956">
        <v>22.43</v>
      </c>
      <c r="H956" t="str" cm="1">
        <f t="array" ref="H956">_xlfn.XLOOKUP(TRIM(C956),_xlfn.ANCHORARRAY($L$5),$M$5:$M$18)</f>
        <v>LEGUMEX</v>
      </c>
      <c r="I956" t="str">
        <v>Huile olive</v>
      </c>
      <c r="J956">
        <f t="shared" si="19"/>
        <v>4</v>
      </c>
    </row>
    <row r="957" spans="1:10" x14ac:dyDescent="0.25">
      <c r="A957" t="s">
        <v>1256</v>
      </c>
      <c r="B957" t="s">
        <v>1254</v>
      </c>
      <c r="C957" t="s">
        <v>27</v>
      </c>
      <c r="D957" t="s">
        <v>28</v>
      </c>
      <c r="E957">
        <v>4</v>
      </c>
      <c r="F957" t="s">
        <v>29</v>
      </c>
      <c r="G957">
        <v>10.199999999999999</v>
      </c>
      <c r="H957" t="str" cm="1">
        <f t="array" ref="H957">_xlfn.XLOOKUP(TRIM(C957),_xlfn.ANCHORARRAY($L$5),$M$5:$M$18)</f>
        <v>LEGUMEX</v>
      </c>
      <c r="I957" t="str">
        <v>Sauce tomate</v>
      </c>
      <c r="J957">
        <f t="shared" si="19"/>
        <v>4</v>
      </c>
    </row>
    <row r="958" spans="1:10" x14ac:dyDescent="0.25">
      <c r="A958" t="s">
        <v>1257</v>
      </c>
      <c r="B958" t="s">
        <v>1254</v>
      </c>
      <c r="C958" t="s">
        <v>90</v>
      </c>
      <c r="D958" t="s">
        <v>51</v>
      </c>
      <c r="E958">
        <v>4</v>
      </c>
      <c r="F958" t="s">
        <v>52</v>
      </c>
      <c r="G958">
        <v>18.239999999999998</v>
      </c>
      <c r="H958" t="str" cm="1">
        <f t="array" ref="H958">_xlfn.XLOOKUP(TRIM(C958),_xlfn.ANCHORARRAY($L$5),$M$5:$M$18)</f>
        <v>Moulin du Nord</v>
      </c>
      <c r="I958" t="str">
        <v>Farine</v>
      </c>
      <c r="J958">
        <f t="shared" si="19"/>
        <v>4</v>
      </c>
    </row>
    <row r="959" spans="1:10" x14ac:dyDescent="0.25">
      <c r="A959" t="s">
        <v>1258</v>
      </c>
      <c r="B959" t="s">
        <v>1254</v>
      </c>
      <c r="C959" t="s">
        <v>154</v>
      </c>
      <c r="D959" t="s">
        <v>55</v>
      </c>
      <c r="E959">
        <v>10</v>
      </c>
      <c r="F959" t="s">
        <v>17</v>
      </c>
      <c r="G959">
        <v>8.77</v>
      </c>
      <c r="H959" t="str" cm="1">
        <f t="array" ref="H959">_xlfn.XLOOKUP(TRIM(C959),_xlfn.ANCHORARRAY($L$5),$M$5:$M$18)</f>
        <v>Fromag. Centrale</v>
      </c>
      <c r="I959" t="str">
        <v>Mozzarella</v>
      </c>
      <c r="J959">
        <f t="shared" si="19"/>
        <v>10</v>
      </c>
    </row>
    <row r="960" spans="1:10" x14ac:dyDescent="0.25">
      <c r="A960" t="s">
        <v>1259</v>
      </c>
      <c r="B960" t="s">
        <v>1260</v>
      </c>
      <c r="C960" t="s">
        <v>9</v>
      </c>
      <c r="D960" t="s">
        <v>10</v>
      </c>
      <c r="E960">
        <v>6</v>
      </c>
      <c r="F960" t="s">
        <v>11</v>
      </c>
      <c r="G960">
        <v>14.17</v>
      </c>
      <c r="H960" t="str" cm="1">
        <f t="array" ref="H960">_xlfn.XLOOKUP(TRIM(C960),_xlfn.ANCHORARRAY($L$5),$M$5:$M$18)</f>
        <v>Metro</v>
      </c>
      <c r="I960" t="str">
        <v>Coca Cola</v>
      </c>
      <c r="J960">
        <f t="shared" si="19"/>
        <v>6</v>
      </c>
    </row>
    <row r="961" spans="1:10" x14ac:dyDescent="0.25">
      <c r="A961" t="s">
        <v>1261</v>
      </c>
      <c r="B961" t="s">
        <v>1260</v>
      </c>
      <c r="C961" t="s">
        <v>59</v>
      </c>
      <c r="D961" t="s">
        <v>14</v>
      </c>
      <c r="E961">
        <v>5</v>
      </c>
      <c r="F961" t="s">
        <v>11</v>
      </c>
      <c r="G961">
        <v>13.94</v>
      </c>
      <c r="H961" t="str" cm="1">
        <f t="array" ref="H961">_xlfn.XLOOKUP(TRIM(C961),_xlfn.ANCHORARRAY($L$5),$M$5:$M$18)</f>
        <v>Metro</v>
      </c>
      <c r="I961" t="str">
        <v>7up</v>
      </c>
      <c r="J961">
        <f t="shared" si="19"/>
        <v>5</v>
      </c>
    </row>
    <row r="962" spans="1:10" x14ac:dyDescent="0.25">
      <c r="A962" t="s">
        <v>1262</v>
      </c>
      <c r="B962" t="s">
        <v>1260</v>
      </c>
      <c r="C962" t="s">
        <v>97</v>
      </c>
      <c r="D962" t="s">
        <v>16</v>
      </c>
      <c r="E962">
        <v>3</v>
      </c>
      <c r="F962" t="s">
        <v>17</v>
      </c>
      <c r="G962">
        <v>1.22</v>
      </c>
      <c r="H962" t="str" cm="1">
        <f t="array" ref="H962">_xlfn.XLOOKUP(TRIM(C962),_xlfn.ANCHORARRAY($L$5),$M$5:$M$18)</f>
        <v>Metro</v>
      </c>
      <c r="I962" t="str">
        <v>Sel</v>
      </c>
      <c r="J962">
        <f t="shared" ref="J962:J1025" si="20">IF(E962&lt;&gt;0,E962,_xlfn.XLOOKUP(I962,$Q$5:$Q$16,$Y$5:$Y$16))</f>
        <v>3</v>
      </c>
    </row>
    <row r="963" spans="1:10" x14ac:dyDescent="0.25">
      <c r="A963" t="s">
        <v>1263</v>
      </c>
      <c r="B963" t="s">
        <v>1264</v>
      </c>
      <c r="C963" t="s">
        <v>64</v>
      </c>
      <c r="D963" t="s">
        <v>33</v>
      </c>
      <c r="E963">
        <v>12</v>
      </c>
      <c r="F963" t="s">
        <v>17</v>
      </c>
      <c r="G963">
        <v>8.4600000000000009</v>
      </c>
      <c r="H963" t="str" cm="1">
        <f t="array" ref="H963">_xlfn.XLOOKUP(TRIM(C963),_xlfn.ANCHORARRAY($L$5),$M$5:$M$18)</f>
        <v>B. Halal Pro</v>
      </c>
      <c r="I963" t="str">
        <v>Viande hachée</v>
      </c>
      <c r="J963">
        <f t="shared" si="20"/>
        <v>12</v>
      </c>
    </row>
    <row r="964" spans="1:10" x14ac:dyDescent="0.25">
      <c r="A964" t="s">
        <v>1265</v>
      </c>
      <c r="B964" t="s">
        <v>1264</v>
      </c>
      <c r="C964" t="s">
        <v>64</v>
      </c>
      <c r="D964" t="s">
        <v>35</v>
      </c>
      <c r="E964">
        <v>8</v>
      </c>
      <c r="F964" t="s">
        <v>17</v>
      </c>
      <c r="G964">
        <v>6.98</v>
      </c>
      <c r="H964" t="str" cm="1">
        <f t="array" ref="H964">_xlfn.XLOOKUP(TRIM(C964),_xlfn.ANCHORARRAY($L$5),$M$5:$M$18)</f>
        <v>B. Halal Pro</v>
      </c>
      <c r="I964" t="str">
        <v>Poulet émincé</v>
      </c>
      <c r="J964">
        <f t="shared" si="20"/>
        <v>8</v>
      </c>
    </row>
    <row r="965" spans="1:10" x14ac:dyDescent="0.25">
      <c r="A965" t="s">
        <v>1266</v>
      </c>
      <c r="B965" t="s">
        <v>1264</v>
      </c>
      <c r="C965" t="s">
        <v>83</v>
      </c>
      <c r="D965" t="s">
        <v>38</v>
      </c>
      <c r="E965">
        <v>8</v>
      </c>
      <c r="F965" t="s">
        <v>39</v>
      </c>
      <c r="G965">
        <v>5.74</v>
      </c>
      <c r="H965" t="str" cm="1">
        <f t="array" ref="H965">_xlfn.XLOOKUP(TRIM(C965),_xlfn.ANCHORARRAY($L$5),$M$5:$M$18)</f>
        <v>Boul. Express</v>
      </c>
      <c r="I965" t="str">
        <v>Pain burger</v>
      </c>
      <c r="J965">
        <f t="shared" si="20"/>
        <v>8</v>
      </c>
    </row>
    <row r="966" spans="1:10" x14ac:dyDescent="0.25">
      <c r="A966" t="s">
        <v>1267</v>
      </c>
      <c r="B966" t="s">
        <v>1264</v>
      </c>
      <c r="C966" t="s">
        <v>37</v>
      </c>
      <c r="D966" t="s">
        <v>42</v>
      </c>
      <c r="E966">
        <v>8</v>
      </c>
      <c r="F966" t="s">
        <v>43</v>
      </c>
      <c r="G966">
        <v>3.87</v>
      </c>
      <c r="H966" t="str" cm="1">
        <f t="array" ref="H966">_xlfn.XLOOKUP(TRIM(C966),_xlfn.ANCHORARRAY($L$5),$M$5:$M$18)</f>
        <v>Boul. Express</v>
      </c>
      <c r="I966" t="str">
        <v>Pain pita</v>
      </c>
      <c r="J966">
        <f t="shared" si="20"/>
        <v>8</v>
      </c>
    </row>
    <row r="967" spans="1:10" x14ac:dyDescent="0.25">
      <c r="A967" t="s">
        <v>1268</v>
      </c>
      <c r="B967" t="s">
        <v>1269</v>
      </c>
      <c r="C967" t="s">
        <v>154</v>
      </c>
      <c r="D967" t="s">
        <v>55</v>
      </c>
      <c r="E967">
        <v>10</v>
      </c>
      <c r="F967" t="s">
        <v>17</v>
      </c>
      <c r="G967">
        <v>9.58</v>
      </c>
      <c r="H967" t="str" cm="1">
        <f t="array" ref="H967">_xlfn.XLOOKUP(TRIM(C967),_xlfn.ANCHORARRAY($L$5),$M$5:$M$18)</f>
        <v>Fromag. Centrale</v>
      </c>
      <c r="I967" t="str">
        <v>Mozzarella</v>
      </c>
      <c r="J967">
        <f t="shared" si="20"/>
        <v>10</v>
      </c>
    </row>
    <row r="968" spans="1:10" x14ac:dyDescent="0.25">
      <c r="A968" t="s">
        <v>1270</v>
      </c>
      <c r="B968" t="s">
        <v>1271</v>
      </c>
      <c r="C968" t="s">
        <v>9</v>
      </c>
      <c r="D968" t="s">
        <v>10</v>
      </c>
      <c r="E968">
        <v>5</v>
      </c>
      <c r="F968" t="s">
        <v>11</v>
      </c>
      <c r="G968">
        <v>14.84</v>
      </c>
      <c r="H968" t="str" cm="1">
        <f t="array" ref="H968">_xlfn.XLOOKUP(TRIM(C968),_xlfn.ANCHORARRAY($L$5),$M$5:$M$18)</f>
        <v>Metro</v>
      </c>
      <c r="I968" t="str">
        <v>Coca Cola</v>
      </c>
      <c r="J968">
        <f t="shared" si="20"/>
        <v>5</v>
      </c>
    </row>
    <row r="969" spans="1:10" x14ac:dyDescent="0.25">
      <c r="A969" t="s">
        <v>1272</v>
      </c>
      <c r="B969" t="s">
        <v>1271</v>
      </c>
      <c r="C969" t="s">
        <v>13</v>
      </c>
      <c r="D969" t="s">
        <v>14</v>
      </c>
      <c r="E969">
        <v>6</v>
      </c>
      <c r="F969" t="s">
        <v>11</v>
      </c>
      <c r="G969">
        <v>13.93</v>
      </c>
      <c r="H969" t="str" cm="1">
        <f t="array" ref="H969">_xlfn.XLOOKUP(TRIM(C969),_xlfn.ANCHORARRAY($L$5),$M$5:$M$18)</f>
        <v>Metro</v>
      </c>
      <c r="I969" t="str">
        <v>7up</v>
      </c>
      <c r="J969">
        <f t="shared" si="20"/>
        <v>6</v>
      </c>
    </row>
    <row r="970" spans="1:10" x14ac:dyDescent="0.25">
      <c r="A970" t="s">
        <v>1273</v>
      </c>
      <c r="B970" t="s">
        <v>1271</v>
      </c>
      <c r="C970" t="s">
        <v>13</v>
      </c>
      <c r="D970" t="s">
        <v>16</v>
      </c>
      <c r="E970">
        <v>3</v>
      </c>
      <c r="F970" t="s">
        <v>17</v>
      </c>
      <c r="G970">
        <v>1.19</v>
      </c>
      <c r="H970" t="str" cm="1">
        <f t="array" ref="H970">_xlfn.XLOOKUP(TRIM(C970),_xlfn.ANCHORARRAY($L$5),$M$5:$M$18)</f>
        <v>Metro</v>
      </c>
      <c r="I970" t="str">
        <v>Sel</v>
      </c>
      <c r="J970">
        <f t="shared" si="20"/>
        <v>3</v>
      </c>
    </row>
    <row r="971" spans="1:10" x14ac:dyDescent="0.25">
      <c r="A971" t="s">
        <v>1274</v>
      </c>
      <c r="B971" t="s">
        <v>1271</v>
      </c>
      <c r="C971" t="s">
        <v>19</v>
      </c>
      <c r="D971" t="s">
        <v>20</v>
      </c>
      <c r="E971">
        <v>10</v>
      </c>
      <c r="F971" t="s">
        <v>21</v>
      </c>
      <c r="G971">
        <v>4.16</v>
      </c>
      <c r="H971" t="str" cm="1">
        <f t="array" ref="H971">_xlfn.XLOOKUP(TRIM(C971),_xlfn.ANCHORARRAY($L$5),$M$5:$M$18)</f>
        <v>LEGUMEX</v>
      </c>
      <c r="I971" t="str">
        <v>Tomates pelées</v>
      </c>
      <c r="J971">
        <f t="shared" si="20"/>
        <v>10</v>
      </c>
    </row>
    <row r="972" spans="1:10" x14ac:dyDescent="0.25">
      <c r="A972" t="s">
        <v>1275</v>
      </c>
      <c r="B972" t="s">
        <v>1271</v>
      </c>
      <c r="C972" t="s">
        <v>46</v>
      </c>
      <c r="D972" t="s">
        <v>24</v>
      </c>
      <c r="E972">
        <v>6</v>
      </c>
      <c r="F972" t="s">
        <v>25</v>
      </c>
      <c r="G972">
        <v>22.88</v>
      </c>
      <c r="H972" t="str" cm="1">
        <f t="array" ref="H972">_xlfn.XLOOKUP(TRIM(C972),_xlfn.ANCHORARRAY($L$5),$M$5:$M$18)</f>
        <v>LEGUMEX</v>
      </c>
      <c r="I972" t="str">
        <v>Huile olive</v>
      </c>
      <c r="J972">
        <f t="shared" si="20"/>
        <v>6</v>
      </c>
    </row>
    <row r="973" spans="1:10" x14ac:dyDescent="0.25">
      <c r="A973" t="s">
        <v>1276</v>
      </c>
      <c r="B973" t="s">
        <v>1271</v>
      </c>
      <c r="C973" t="s">
        <v>46</v>
      </c>
      <c r="D973" t="s">
        <v>28</v>
      </c>
      <c r="E973">
        <v>10</v>
      </c>
      <c r="F973" t="s">
        <v>29</v>
      </c>
      <c r="G973">
        <v>10.34</v>
      </c>
      <c r="H973" t="str" cm="1">
        <f t="array" ref="H973">_xlfn.XLOOKUP(TRIM(C973),_xlfn.ANCHORARRAY($L$5),$M$5:$M$18)</f>
        <v>LEGUMEX</v>
      </c>
      <c r="I973" t="str">
        <v>Sauce tomate</v>
      </c>
      <c r="J973">
        <f t="shared" si="20"/>
        <v>10</v>
      </c>
    </row>
    <row r="974" spans="1:10" x14ac:dyDescent="0.25">
      <c r="A974" t="s">
        <v>1277</v>
      </c>
      <c r="B974" t="s">
        <v>1278</v>
      </c>
      <c r="C974" t="s">
        <v>32</v>
      </c>
      <c r="D974" t="s">
        <v>33</v>
      </c>
      <c r="E974">
        <v>6</v>
      </c>
      <c r="F974" t="s">
        <v>17</v>
      </c>
      <c r="G974">
        <v>8.92</v>
      </c>
      <c r="H974" t="str" cm="1">
        <f t="array" ref="H974">_xlfn.XLOOKUP(TRIM(C974),_xlfn.ANCHORARRAY($L$5),$M$5:$M$18)</f>
        <v>B. Halal Pro</v>
      </c>
      <c r="I974" t="str">
        <v>Viande hachée</v>
      </c>
      <c r="J974">
        <f t="shared" si="20"/>
        <v>6</v>
      </c>
    </row>
    <row r="975" spans="1:10" x14ac:dyDescent="0.25">
      <c r="A975" t="s">
        <v>1279</v>
      </c>
      <c r="B975" t="s">
        <v>1278</v>
      </c>
      <c r="C975" t="s">
        <v>66</v>
      </c>
      <c r="D975" t="s">
        <v>35</v>
      </c>
      <c r="E975">
        <v>8</v>
      </c>
      <c r="F975" t="s">
        <v>17</v>
      </c>
      <c r="G975">
        <v>6.94</v>
      </c>
      <c r="H975" t="str" cm="1">
        <f t="array" ref="H975">_xlfn.XLOOKUP(TRIM(C975),_xlfn.ANCHORARRAY($L$5),$M$5:$M$18)</f>
        <v>B. Halal Pro</v>
      </c>
      <c r="I975" t="str">
        <v>Poulet émincé</v>
      </c>
      <c r="J975">
        <f t="shared" si="20"/>
        <v>8</v>
      </c>
    </row>
    <row r="976" spans="1:10" x14ac:dyDescent="0.25">
      <c r="A976" t="s">
        <v>1280</v>
      </c>
      <c r="B976" t="s">
        <v>1278</v>
      </c>
      <c r="C976" t="s">
        <v>37</v>
      </c>
      <c r="D976" t="s">
        <v>38</v>
      </c>
      <c r="E976">
        <v>12</v>
      </c>
      <c r="F976" t="s">
        <v>39</v>
      </c>
      <c r="G976">
        <v>5.99</v>
      </c>
      <c r="H976" t="str" cm="1">
        <f t="array" ref="H976">_xlfn.XLOOKUP(TRIM(C976),_xlfn.ANCHORARRAY($L$5),$M$5:$M$18)</f>
        <v>Boul. Express</v>
      </c>
      <c r="I976" t="str">
        <v>Pain burger</v>
      </c>
      <c r="J976">
        <f t="shared" si="20"/>
        <v>12</v>
      </c>
    </row>
    <row r="977" spans="1:10" x14ac:dyDescent="0.25">
      <c r="A977" t="s">
        <v>1281</v>
      </c>
      <c r="B977" t="s">
        <v>1278</v>
      </c>
      <c r="C977" t="s">
        <v>37</v>
      </c>
      <c r="D977" t="s">
        <v>42</v>
      </c>
      <c r="E977">
        <v>5</v>
      </c>
      <c r="F977" t="s">
        <v>43</v>
      </c>
      <c r="G977">
        <v>3.94</v>
      </c>
      <c r="H977" t="str" cm="1">
        <f t="array" ref="H977">_xlfn.XLOOKUP(TRIM(C977),_xlfn.ANCHORARRAY($L$5),$M$5:$M$18)</f>
        <v>Boul. Express</v>
      </c>
      <c r="I977" t="str">
        <v>Pain pita</v>
      </c>
      <c r="J977">
        <f t="shared" si="20"/>
        <v>5</v>
      </c>
    </row>
    <row r="978" spans="1:10" x14ac:dyDescent="0.25">
      <c r="A978" t="s">
        <v>1282</v>
      </c>
      <c r="B978" t="s">
        <v>1283</v>
      </c>
      <c r="C978" t="s">
        <v>27</v>
      </c>
      <c r="D978" t="s">
        <v>20</v>
      </c>
      <c r="E978">
        <v>6</v>
      </c>
      <c r="F978" t="s">
        <v>21</v>
      </c>
      <c r="G978">
        <v>4.45</v>
      </c>
      <c r="H978" t="str" cm="1">
        <f t="array" ref="H978">_xlfn.XLOOKUP(TRIM(C978),_xlfn.ANCHORARRAY($L$5),$M$5:$M$18)</f>
        <v>LEGUMEX</v>
      </c>
      <c r="I978" t="str">
        <v>Tomates pelées</v>
      </c>
      <c r="J978">
        <f t="shared" si="20"/>
        <v>6</v>
      </c>
    </row>
    <row r="979" spans="1:10" x14ac:dyDescent="0.25">
      <c r="A979" t="s">
        <v>1284</v>
      </c>
      <c r="B979" t="s">
        <v>1283</v>
      </c>
      <c r="C979" t="s">
        <v>19</v>
      </c>
      <c r="D979" t="s">
        <v>24</v>
      </c>
      <c r="E979">
        <v>4</v>
      </c>
      <c r="F979" t="s">
        <v>25</v>
      </c>
      <c r="G979">
        <v>21.65</v>
      </c>
      <c r="H979" t="str" cm="1">
        <f t="array" ref="H979">_xlfn.XLOOKUP(TRIM(C979),_xlfn.ANCHORARRAY($L$5),$M$5:$M$18)</f>
        <v>LEGUMEX</v>
      </c>
      <c r="I979" t="str">
        <v>Huile olive</v>
      </c>
      <c r="J979">
        <f t="shared" si="20"/>
        <v>4</v>
      </c>
    </row>
    <row r="980" spans="1:10" x14ac:dyDescent="0.25">
      <c r="A980" t="s">
        <v>1285</v>
      </c>
      <c r="B980" t="s">
        <v>1283</v>
      </c>
      <c r="C980" t="s">
        <v>27</v>
      </c>
      <c r="D980" t="s">
        <v>28</v>
      </c>
      <c r="E980">
        <v>4</v>
      </c>
      <c r="F980" t="s">
        <v>29</v>
      </c>
      <c r="G980">
        <v>10.39</v>
      </c>
      <c r="H980" t="str" cm="1">
        <f t="array" ref="H980">_xlfn.XLOOKUP(TRIM(C980),_xlfn.ANCHORARRAY($L$5),$M$5:$M$18)</f>
        <v>LEGUMEX</v>
      </c>
      <c r="I980" t="str">
        <v>Sauce tomate</v>
      </c>
      <c r="J980">
        <f t="shared" si="20"/>
        <v>4</v>
      </c>
    </row>
    <row r="981" spans="1:10" x14ac:dyDescent="0.25">
      <c r="A981" t="s">
        <v>1286</v>
      </c>
      <c r="B981" t="s">
        <v>1283</v>
      </c>
      <c r="C981" t="s">
        <v>50</v>
      </c>
      <c r="D981" t="s">
        <v>51</v>
      </c>
      <c r="E981">
        <v>2</v>
      </c>
      <c r="F981" t="s">
        <v>52</v>
      </c>
      <c r="G981">
        <v>19.04</v>
      </c>
      <c r="H981" t="str" cm="1">
        <f t="array" ref="H981">_xlfn.XLOOKUP(TRIM(C981),_xlfn.ANCHORARRAY($L$5),$M$5:$M$18)</f>
        <v>Moulin du Nord</v>
      </c>
      <c r="I981" t="str">
        <v>Farine</v>
      </c>
      <c r="J981">
        <f t="shared" si="20"/>
        <v>2</v>
      </c>
    </row>
    <row r="982" spans="1:10" x14ac:dyDescent="0.25">
      <c r="A982" t="s">
        <v>1287</v>
      </c>
      <c r="B982" t="s">
        <v>1283</v>
      </c>
      <c r="C982" t="s">
        <v>54</v>
      </c>
      <c r="D982" t="s">
        <v>55</v>
      </c>
      <c r="E982">
        <v>10</v>
      </c>
      <c r="F982" t="s">
        <v>17</v>
      </c>
      <c r="G982">
        <v>9.14</v>
      </c>
      <c r="H982" t="str" cm="1">
        <f t="array" ref="H982">_xlfn.XLOOKUP(TRIM(C982),_xlfn.ANCHORARRAY($L$5),$M$5:$M$18)</f>
        <v>Fromag. Centrale</v>
      </c>
      <c r="I982" t="str">
        <v>Mozzarella</v>
      </c>
      <c r="J982">
        <f t="shared" si="20"/>
        <v>10</v>
      </c>
    </row>
    <row r="983" spans="1:10" x14ac:dyDescent="0.25">
      <c r="A983" t="s">
        <v>1288</v>
      </c>
      <c r="B983" t="s">
        <v>1289</v>
      </c>
      <c r="C983" t="s">
        <v>13</v>
      </c>
      <c r="D983" t="s">
        <v>10</v>
      </c>
      <c r="E983">
        <v>5</v>
      </c>
      <c r="F983" t="s">
        <v>11</v>
      </c>
      <c r="G983">
        <v>14.48</v>
      </c>
      <c r="H983" t="str" cm="1">
        <f t="array" ref="H983">_xlfn.XLOOKUP(TRIM(C983),_xlfn.ANCHORARRAY($L$5),$M$5:$M$18)</f>
        <v>Metro</v>
      </c>
      <c r="I983" t="str">
        <v>Coca Cola</v>
      </c>
      <c r="J983">
        <f t="shared" si="20"/>
        <v>5</v>
      </c>
    </row>
    <row r="984" spans="1:10" x14ac:dyDescent="0.25">
      <c r="A984" t="s">
        <v>1290</v>
      </c>
      <c r="B984" t="s">
        <v>1289</v>
      </c>
      <c r="C984" t="s">
        <v>61</v>
      </c>
      <c r="D984" t="s">
        <v>14</v>
      </c>
      <c r="E984">
        <v>5</v>
      </c>
      <c r="F984" t="s">
        <v>11</v>
      </c>
      <c r="G984">
        <v>12.96</v>
      </c>
      <c r="H984" t="str" cm="1">
        <f t="array" ref="H984">_xlfn.XLOOKUP(TRIM(C984),_xlfn.ANCHORARRAY($L$5),$M$5:$M$18)</f>
        <v>Metro</v>
      </c>
      <c r="I984" t="str">
        <v>7up</v>
      </c>
      <c r="J984">
        <f t="shared" si="20"/>
        <v>5</v>
      </c>
    </row>
    <row r="985" spans="1:10" x14ac:dyDescent="0.25">
      <c r="A985" t="s">
        <v>1291</v>
      </c>
      <c r="B985" t="s">
        <v>1289</v>
      </c>
      <c r="C985" t="s">
        <v>9</v>
      </c>
      <c r="D985" t="s">
        <v>16</v>
      </c>
      <c r="F985" t="s">
        <v>17</v>
      </c>
      <c r="G985">
        <v>1.2</v>
      </c>
      <c r="H985" t="str" cm="1">
        <f t="array" ref="H985">_xlfn.XLOOKUP(TRIM(C985),_xlfn.ANCHORARRAY($L$5),$M$5:$M$18)</f>
        <v>Metro</v>
      </c>
      <c r="I985" t="str">
        <v>Sel</v>
      </c>
      <c r="J985">
        <f t="shared" si="20"/>
        <v>6</v>
      </c>
    </row>
    <row r="986" spans="1:10" x14ac:dyDescent="0.25">
      <c r="A986" t="s">
        <v>1292</v>
      </c>
      <c r="B986" t="s">
        <v>1293</v>
      </c>
      <c r="C986" t="s">
        <v>100</v>
      </c>
      <c r="D986" t="s">
        <v>33</v>
      </c>
      <c r="E986">
        <v>12</v>
      </c>
      <c r="F986" t="s">
        <v>17</v>
      </c>
      <c r="G986">
        <v>10.29</v>
      </c>
      <c r="H986" t="str" cm="1">
        <f t="array" ref="H986">_xlfn.XLOOKUP(TRIM(C986),_xlfn.ANCHORARRAY($L$5),$M$5:$M$18)</f>
        <v>B. Halal Pro</v>
      </c>
      <c r="I986" t="str">
        <v>Viande hachée</v>
      </c>
      <c r="J986">
        <f t="shared" si="20"/>
        <v>12</v>
      </c>
    </row>
    <row r="987" spans="1:10" x14ac:dyDescent="0.25">
      <c r="A987" t="s">
        <v>1294</v>
      </c>
      <c r="B987" t="s">
        <v>1293</v>
      </c>
      <c r="C987" t="s">
        <v>100</v>
      </c>
      <c r="D987" t="s">
        <v>35</v>
      </c>
      <c r="E987">
        <v>6</v>
      </c>
      <c r="F987" t="s">
        <v>17</v>
      </c>
      <c r="G987">
        <v>7.14</v>
      </c>
      <c r="H987" t="str" cm="1">
        <f t="array" ref="H987">_xlfn.XLOOKUP(TRIM(C987),_xlfn.ANCHORARRAY($L$5),$M$5:$M$18)</f>
        <v>B. Halal Pro</v>
      </c>
      <c r="I987" t="str">
        <v>Poulet émincé</v>
      </c>
      <c r="J987">
        <f t="shared" si="20"/>
        <v>6</v>
      </c>
    </row>
    <row r="988" spans="1:10" x14ac:dyDescent="0.25">
      <c r="A988" t="s">
        <v>1295</v>
      </c>
      <c r="B988" t="s">
        <v>1293</v>
      </c>
      <c r="C988" t="s">
        <v>83</v>
      </c>
      <c r="D988" t="s">
        <v>38</v>
      </c>
      <c r="E988">
        <v>12</v>
      </c>
      <c r="F988" t="s">
        <v>39</v>
      </c>
      <c r="G988">
        <v>5.94</v>
      </c>
      <c r="H988" t="str" cm="1">
        <f t="array" ref="H988">_xlfn.XLOOKUP(TRIM(C988),_xlfn.ANCHORARRAY($L$5),$M$5:$M$18)</f>
        <v>Boul. Express</v>
      </c>
      <c r="I988" t="str">
        <v>Pain burger</v>
      </c>
      <c r="J988">
        <f t="shared" si="20"/>
        <v>12</v>
      </c>
    </row>
    <row r="989" spans="1:10" x14ac:dyDescent="0.25">
      <c r="A989" t="s">
        <v>1296</v>
      </c>
      <c r="B989" t="s">
        <v>1293</v>
      </c>
      <c r="C989" t="s">
        <v>41</v>
      </c>
      <c r="D989" t="s">
        <v>42</v>
      </c>
      <c r="E989">
        <v>12</v>
      </c>
      <c r="F989" t="s">
        <v>43</v>
      </c>
      <c r="G989">
        <v>3.87</v>
      </c>
      <c r="H989" t="str" cm="1">
        <f t="array" ref="H989">_xlfn.XLOOKUP(TRIM(C989),_xlfn.ANCHORARRAY($L$5),$M$5:$M$18)</f>
        <v>Boul. Express</v>
      </c>
      <c r="I989" t="str">
        <v>Pain pita</v>
      </c>
      <c r="J989">
        <f t="shared" si="20"/>
        <v>12</v>
      </c>
    </row>
    <row r="990" spans="1:10" x14ac:dyDescent="0.25">
      <c r="A990" t="s">
        <v>1297</v>
      </c>
      <c r="B990" t="s">
        <v>1298</v>
      </c>
      <c r="C990" t="s">
        <v>54</v>
      </c>
      <c r="D990" t="s">
        <v>55</v>
      </c>
      <c r="E990">
        <v>4</v>
      </c>
      <c r="F990" t="s">
        <v>17</v>
      </c>
      <c r="G990">
        <v>8.89</v>
      </c>
      <c r="H990" t="str" cm="1">
        <f t="array" ref="H990">_xlfn.XLOOKUP(TRIM(C990),_xlfn.ANCHORARRAY($L$5),$M$5:$M$18)</f>
        <v>Fromag. Centrale</v>
      </c>
      <c r="I990" t="str">
        <v>Mozzarella</v>
      </c>
      <c r="J990">
        <f t="shared" si="20"/>
        <v>4</v>
      </c>
    </row>
    <row r="991" spans="1:10" x14ac:dyDescent="0.25">
      <c r="A991" t="s">
        <v>1299</v>
      </c>
      <c r="B991" t="s">
        <v>1300</v>
      </c>
      <c r="C991" t="s">
        <v>61</v>
      </c>
      <c r="D991" t="s">
        <v>10</v>
      </c>
      <c r="E991">
        <v>5</v>
      </c>
      <c r="F991" t="s">
        <v>11</v>
      </c>
      <c r="G991">
        <v>14.47</v>
      </c>
      <c r="H991" t="str" cm="1">
        <f t="array" ref="H991">_xlfn.XLOOKUP(TRIM(C991),_xlfn.ANCHORARRAY($L$5),$M$5:$M$18)</f>
        <v>Metro</v>
      </c>
      <c r="I991" t="str">
        <v>Coca Cola</v>
      </c>
      <c r="J991">
        <f t="shared" si="20"/>
        <v>5</v>
      </c>
    </row>
    <row r="992" spans="1:10" x14ac:dyDescent="0.25">
      <c r="A992" t="s">
        <v>1301</v>
      </c>
      <c r="B992" t="s">
        <v>1300</v>
      </c>
      <c r="C992" t="s">
        <v>9</v>
      </c>
      <c r="D992" t="s">
        <v>14</v>
      </c>
      <c r="E992">
        <v>3</v>
      </c>
      <c r="F992" t="s">
        <v>11</v>
      </c>
      <c r="G992">
        <v>13.97</v>
      </c>
      <c r="H992" t="str" cm="1">
        <f t="array" ref="H992">_xlfn.XLOOKUP(TRIM(C992),_xlfn.ANCHORARRAY($L$5),$M$5:$M$18)</f>
        <v>Metro</v>
      </c>
      <c r="I992" t="str">
        <v>7up</v>
      </c>
      <c r="J992">
        <f t="shared" si="20"/>
        <v>3</v>
      </c>
    </row>
    <row r="993" spans="1:10" x14ac:dyDescent="0.25">
      <c r="A993" t="s">
        <v>1302</v>
      </c>
      <c r="B993" t="s">
        <v>1300</v>
      </c>
      <c r="C993" t="s">
        <v>61</v>
      </c>
      <c r="D993" t="s">
        <v>16</v>
      </c>
      <c r="E993">
        <v>5</v>
      </c>
      <c r="F993" t="s">
        <v>17</v>
      </c>
      <c r="G993">
        <v>1.25</v>
      </c>
      <c r="H993" t="str" cm="1">
        <f t="array" ref="H993">_xlfn.XLOOKUP(TRIM(C993),_xlfn.ANCHORARRAY($L$5),$M$5:$M$18)</f>
        <v>Metro</v>
      </c>
      <c r="I993" t="str">
        <v>Sel</v>
      </c>
      <c r="J993">
        <f t="shared" si="20"/>
        <v>5</v>
      </c>
    </row>
    <row r="994" spans="1:10" x14ac:dyDescent="0.25">
      <c r="A994" t="s">
        <v>1303</v>
      </c>
      <c r="B994" t="s">
        <v>1300</v>
      </c>
      <c r="C994" t="s">
        <v>19</v>
      </c>
      <c r="D994" t="s">
        <v>20</v>
      </c>
      <c r="E994">
        <v>10</v>
      </c>
      <c r="F994" t="s">
        <v>21</v>
      </c>
      <c r="G994">
        <v>4.2</v>
      </c>
      <c r="H994" t="str" cm="1">
        <f t="array" ref="H994">_xlfn.XLOOKUP(TRIM(C994),_xlfn.ANCHORARRAY($L$5),$M$5:$M$18)</f>
        <v>LEGUMEX</v>
      </c>
      <c r="I994" t="str">
        <v>Tomates pelées</v>
      </c>
      <c r="J994">
        <f t="shared" si="20"/>
        <v>10</v>
      </c>
    </row>
    <row r="995" spans="1:10" x14ac:dyDescent="0.25">
      <c r="A995" t="s">
        <v>1304</v>
      </c>
      <c r="B995" t="s">
        <v>1300</v>
      </c>
      <c r="C995" t="s">
        <v>27</v>
      </c>
      <c r="D995" t="s">
        <v>24</v>
      </c>
      <c r="E995">
        <v>10</v>
      </c>
      <c r="F995" t="s">
        <v>25</v>
      </c>
      <c r="G995">
        <v>22.38</v>
      </c>
      <c r="H995" t="str" cm="1">
        <f t="array" ref="H995">_xlfn.XLOOKUP(TRIM(C995),_xlfn.ANCHORARRAY($L$5),$M$5:$M$18)</f>
        <v>LEGUMEX</v>
      </c>
      <c r="I995" t="str">
        <v>Huile olive</v>
      </c>
      <c r="J995">
        <f t="shared" si="20"/>
        <v>10</v>
      </c>
    </row>
    <row r="996" spans="1:10" x14ac:dyDescent="0.25">
      <c r="A996" t="s">
        <v>1305</v>
      </c>
      <c r="B996" t="s">
        <v>1300</v>
      </c>
      <c r="C996" t="s">
        <v>19</v>
      </c>
      <c r="D996" t="s">
        <v>28</v>
      </c>
      <c r="E996">
        <v>8</v>
      </c>
      <c r="F996" t="s">
        <v>29</v>
      </c>
      <c r="G996">
        <v>9.9700000000000006</v>
      </c>
      <c r="H996" t="str" cm="1">
        <f t="array" ref="H996">_xlfn.XLOOKUP(TRIM(C996),_xlfn.ANCHORARRAY($L$5),$M$5:$M$18)</f>
        <v>LEGUMEX</v>
      </c>
      <c r="I996" t="str">
        <v>Sauce tomate</v>
      </c>
      <c r="J996">
        <f t="shared" si="20"/>
        <v>8</v>
      </c>
    </row>
    <row r="997" spans="1:10" x14ac:dyDescent="0.25">
      <c r="A997" t="s">
        <v>1306</v>
      </c>
      <c r="B997" t="s">
        <v>1307</v>
      </c>
      <c r="C997" t="s">
        <v>32</v>
      </c>
      <c r="D997" t="s">
        <v>33</v>
      </c>
      <c r="E997">
        <v>10</v>
      </c>
      <c r="F997" t="s">
        <v>17</v>
      </c>
      <c r="G997">
        <v>9.4700000000000006</v>
      </c>
      <c r="H997" t="str" cm="1">
        <f t="array" ref="H997">_xlfn.XLOOKUP(TRIM(C997),_xlfn.ANCHORARRAY($L$5),$M$5:$M$18)</f>
        <v>B. Halal Pro</v>
      </c>
      <c r="I997" t="str">
        <v>Viande hachée</v>
      </c>
      <c r="J997">
        <f t="shared" si="20"/>
        <v>10</v>
      </c>
    </row>
    <row r="998" spans="1:10" x14ac:dyDescent="0.25">
      <c r="A998" t="s">
        <v>1308</v>
      </c>
      <c r="B998" t="s">
        <v>1307</v>
      </c>
      <c r="C998" t="s">
        <v>64</v>
      </c>
      <c r="D998" t="s">
        <v>35</v>
      </c>
      <c r="E998">
        <v>6</v>
      </c>
      <c r="F998" t="s">
        <v>17</v>
      </c>
      <c r="G998">
        <v>7.2</v>
      </c>
      <c r="H998" t="str" cm="1">
        <f t="array" ref="H998">_xlfn.XLOOKUP(TRIM(C998),_xlfn.ANCHORARRAY($L$5),$M$5:$M$18)</f>
        <v>B. Halal Pro</v>
      </c>
      <c r="I998" t="str">
        <v>Poulet émincé</v>
      </c>
      <c r="J998">
        <f t="shared" si="20"/>
        <v>6</v>
      </c>
    </row>
    <row r="999" spans="1:10" x14ac:dyDescent="0.25">
      <c r="A999" t="s">
        <v>1309</v>
      </c>
      <c r="B999" t="s">
        <v>1307</v>
      </c>
      <c r="C999" t="s">
        <v>83</v>
      </c>
      <c r="D999" t="s">
        <v>38</v>
      </c>
      <c r="E999">
        <v>10</v>
      </c>
      <c r="F999" t="s">
        <v>39</v>
      </c>
      <c r="G999">
        <v>5.71</v>
      </c>
      <c r="H999" t="str" cm="1">
        <f t="array" ref="H999">_xlfn.XLOOKUP(TRIM(C999),_xlfn.ANCHORARRAY($L$5),$M$5:$M$18)</f>
        <v>Boul. Express</v>
      </c>
      <c r="I999" t="str">
        <v>Pain burger</v>
      </c>
      <c r="J999">
        <f t="shared" si="20"/>
        <v>10</v>
      </c>
    </row>
    <row r="1000" spans="1:10" x14ac:dyDescent="0.25">
      <c r="A1000" t="s">
        <v>1310</v>
      </c>
      <c r="B1000" t="s">
        <v>1307</v>
      </c>
      <c r="C1000" t="s">
        <v>83</v>
      </c>
      <c r="D1000" t="s">
        <v>42</v>
      </c>
      <c r="E1000">
        <v>5</v>
      </c>
      <c r="F1000" t="s">
        <v>43</v>
      </c>
      <c r="G1000">
        <v>3.86</v>
      </c>
      <c r="H1000" t="str" cm="1">
        <f t="array" ref="H1000">_xlfn.XLOOKUP(TRIM(C1000),_xlfn.ANCHORARRAY($L$5),$M$5:$M$18)</f>
        <v>Boul. Express</v>
      </c>
      <c r="I1000" t="str">
        <v>Pain pita</v>
      </c>
      <c r="J1000">
        <f t="shared" si="20"/>
        <v>5</v>
      </c>
    </row>
    <row r="1001" spans="1:10" x14ac:dyDescent="0.25">
      <c r="A1001" t="s">
        <v>1311</v>
      </c>
      <c r="B1001" t="s">
        <v>1312</v>
      </c>
      <c r="C1001" t="s">
        <v>23</v>
      </c>
      <c r="D1001" t="s">
        <v>20</v>
      </c>
      <c r="E1001">
        <v>4</v>
      </c>
      <c r="F1001" t="s">
        <v>21</v>
      </c>
      <c r="G1001">
        <v>4.43</v>
      </c>
      <c r="H1001" t="str" cm="1">
        <f t="array" ref="H1001">_xlfn.XLOOKUP(TRIM(C1001),_xlfn.ANCHORARRAY($L$5),$M$5:$M$18)</f>
        <v>LEGUMEX</v>
      </c>
      <c r="I1001" t="str">
        <v>Tomates pelées</v>
      </c>
      <c r="J1001">
        <f t="shared" si="20"/>
        <v>4</v>
      </c>
    </row>
    <row r="1002" spans="1:10" x14ac:dyDescent="0.25">
      <c r="A1002" t="s">
        <v>1313</v>
      </c>
      <c r="B1002" t="s">
        <v>1312</v>
      </c>
      <c r="C1002" t="s">
        <v>23</v>
      </c>
      <c r="D1002" t="s">
        <v>24</v>
      </c>
      <c r="E1002">
        <v>6</v>
      </c>
      <c r="F1002" t="s">
        <v>25</v>
      </c>
      <c r="G1002">
        <v>22.27</v>
      </c>
      <c r="H1002" t="str" cm="1">
        <f t="array" ref="H1002">_xlfn.XLOOKUP(TRIM(C1002),_xlfn.ANCHORARRAY($L$5),$M$5:$M$18)</f>
        <v>LEGUMEX</v>
      </c>
      <c r="I1002" t="str">
        <v>Huile olive</v>
      </c>
      <c r="J1002">
        <f t="shared" si="20"/>
        <v>6</v>
      </c>
    </row>
    <row r="1003" spans="1:10" x14ac:dyDescent="0.25">
      <c r="A1003" t="s">
        <v>1314</v>
      </c>
      <c r="B1003" t="s">
        <v>1312</v>
      </c>
      <c r="C1003" t="s">
        <v>23</v>
      </c>
      <c r="D1003" t="s">
        <v>28</v>
      </c>
      <c r="E1003">
        <v>4</v>
      </c>
      <c r="F1003" t="s">
        <v>29</v>
      </c>
      <c r="G1003">
        <v>9.34</v>
      </c>
      <c r="H1003" t="str" cm="1">
        <f t="array" ref="H1003">_xlfn.XLOOKUP(TRIM(C1003),_xlfn.ANCHORARRAY($L$5),$M$5:$M$18)</f>
        <v>LEGUMEX</v>
      </c>
      <c r="I1003" t="str">
        <v>Sauce tomate</v>
      </c>
      <c r="J1003">
        <f t="shared" si="20"/>
        <v>4</v>
      </c>
    </row>
    <row r="1004" spans="1:10" x14ac:dyDescent="0.25">
      <c r="A1004" t="s">
        <v>1315</v>
      </c>
      <c r="B1004" t="s">
        <v>1312</v>
      </c>
      <c r="C1004" t="s">
        <v>152</v>
      </c>
      <c r="D1004" t="s">
        <v>51</v>
      </c>
      <c r="E1004">
        <v>4</v>
      </c>
      <c r="F1004" t="s">
        <v>52</v>
      </c>
      <c r="G1004">
        <v>17.98</v>
      </c>
      <c r="H1004" t="str" cm="1">
        <f t="array" ref="H1004">_xlfn.XLOOKUP(TRIM(C1004),_xlfn.ANCHORARRAY($L$5),$M$5:$M$18)</f>
        <v>Moulin du Nord</v>
      </c>
      <c r="I1004" t="str">
        <v>Farine</v>
      </c>
      <c r="J1004">
        <f t="shared" si="20"/>
        <v>4</v>
      </c>
    </row>
    <row r="1005" spans="1:10" x14ac:dyDescent="0.25">
      <c r="A1005" t="s">
        <v>1316</v>
      </c>
      <c r="B1005" t="s">
        <v>1312</v>
      </c>
      <c r="C1005" t="s">
        <v>92</v>
      </c>
      <c r="D1005" t="s">
        <v>55</v>
      </c>
      <c r="E1005">
        <v>8</v>
      </c>
      <c r="F1005" t="s">
        <v>17</v>
      </c>
      <c r="G1005">
        <v>8.4499999999999993</v>
      </c>
      <c r="H1005" t="str" cm="1">
        <f t="array" ref="H1005">_xlfn.XLOOKUP(TRIM(C1005),_xlfn.ANCHORARRAY($L$5),$M$5:$M$18)</f>
        <v>Fromag. Centrale</v>
      </c>
      <c r="I1005" t="str">
        <v>Mozzarella</v>
      </c>
      <c r="J1005">
        <f t="shared" si="20"/>
        <v>8</v>
      </c>
    </row>
    <row r="1006" spans="1:10" x14ac:dyDescent="0.25">
      <c r="A1006" t="s">
        <v>1317</v>
      </c>
      <c r="B1006" t="s">
        <v>1318</v>
      </c>
      <c r="C1006" t="s">
        <v>61</v>
      </c>
      <c r="D1006" t="s">
        <v>10</v>
      </c>
      <c r="E1006">
        <v>6</v>
      </c>
      <c r="F1006" t="s">
        <v>11</v>
      </c>
      <c r="G1006">
        <v>14.74</v>
      </c>
      <c r="H1006" t="str" cm="1">
        <f t="array" ref="H1006">_xlfn.XLOOKUP(TRIM(C1006),_xlfn.ANCHORARRAY($L$5),$M$5:$M$18)</f>
        <v>Metro</v>
      </c>
      <c r="I1006" t="str">
        <v>Coca Cola</v>
      </c>
      <c r="J1006">
        <f t="shared" si="20"/>
        <v>6</v>
      </c>
    </row>
    <row r="1007" spans="1:10" x14ac:dyDescent="0.25">
      <c r="A1007" t="s">
        <v>1319</v>
      </c>
      <c r="B1007" t="s">
        <v>1318</v>
      </c>
      <c r="C1007" t="s">
        <v>9</v>
      </c>
      <c r="D1007" t="s">
        <v>14</v>
      </c>
      <c r="E1007">
        <v>5</v>
      </c>
      <c r="F1007" t="s">
        <v>11</v>
      </c>
      <c r="G1007">
        <v>13.93</v>
      </c>
      <c r="H1007" t="str" cm="1">
        <f t="array" ref="H1007">_xlfn.XLOOKUP(TRIM(C1007),_xlfn.ANCHORARRAY($L$5),$M$5:$M$18)</f>
        <v>Metro</v>
      </c>
      <c r="I1007" t="str">
        <v>7up</v>
      </c>
      <c r="J1007">
        <f t="shared" si="20"/>
        <v>5</v>
      </c>
    </row>
    <row r="1008" spans="1:10" x14ac:dyDescent="0.25">
      <c r="A1008" t="s">
        <v>1320</v>
      </c>
      <c r="B1008" t="s">
        <v>1318</v>
      </c>
      <c r="C1008" t="s">
        <v>61</v>
      </c>
      <c r="D1008" t="s">
        <v>16</v>
      </c>
      <c r="E1008">
        <v>6</v>
      </c>
      <c r="F1008" t="s">
        <v>17</v>
      </c>
      <c r="G1008">
        <v>1.26</v>
      </c>
      <c r="H1008" t="str" cm="1">
        <f t="array" ref="H1008">_xlfn.XLOOKUP(TRIM(C1008),_xlfn.ANCHORARRAY($L$5),$M$5:$M$18)</f>
        <v>Metro</v>
      </c>
      <c r="I1008" t="str">
        <v>Sel</v>
      </c>
      <c r="J1008">
        <f t="shared" si="20"/>
        <v>6</v>
      </c>
    </row>
    <row r="1009" spans="1:10" x14ac:dyDescent="0.25">
      <c r="A1009" t="s">
        <v>1321</v>
      </c>
      <c r="B1009" t="s">
        <v>1322</v>
      </c>
      <c r="C1009" t="s">
        <v>66</v>
      </c>
      <c r="D1009" t="s">
        <v>33</v>
      </c>
      <c r="E1009">
        <v>12</v>
      </c>
      <c r="F1009" t="s">
        <v>17</v>
      </c>
      <c r="G1009">
        <v>9.73</v>
      </c>
      <c r="H1009" t="str" cm="1">
        <f t="array" ref="H1009">_xlfn.XLOOKUP(TRIM(C1009),_xlfn.ANCHORARRAY($L$5),$M$5:$M$18)</f>
        <v>B. Halal Pro</v>
      </c>
      <c r="I1009" t="str">
        <v>Viande hachée</v>
      </c>
      <c r="J1009">
        <f t="shared" si="20"/>
        <v>12</v>
      </c>
    </row>
    <row r="1010" spans="1:10" x14ac:dyDescent="0.25">
      <c r="A1010" t="s">
        <v>1323</v>
      </c>
      <c r="B1010" t="s">
        <v>1322</v>
      </c>
      <c r="C1010" t="s">
        <v>100</v>
      </c>
      <c r="D1010" t="s">
        <v>35</v>
      </c>
      <c r="E1010">
        <v>12</v>
      </c>
      <c r="F1010" t="s">
        <v>17</v>
      </c>
      <c r="G1010">
        <v>7.34</v>
      </c>
      <c r="H1010" t="str" cm="1">
        <f t="array" ref="H1010">_xlfn.XLOOKUP(TRIM(C1010),_xlfn.ANCHORARRAY($L$5),$M$5:$M$18)</f>
        <v>B. Halal Pro</v>
      </c>
      <c r="I1010" t="str">
        <v>Poulet émincé</v>
      </c>
      <c r="J1010">
        <f t="shared" si="20"/>
        <v>12</v>
      </c>
    </row>
    <row r="1011" spans="1:10" x14ac:dyDescent="0.25">
      <c r="A1011" t="s">
        <v>1324</v>
      </c>
      <c r="B1011" t="s">
        <v>1322</v>
      </c>
      <c r="C1011" t="s">
        <v>37</v>
      </c>
      <c r="D1011" t="s">
        <v>38</v>
      </c>
      <c r="E1011">
        <v>5</v>
      </c>
      <c r="F1011" t="s">
        <v>39</v>
      </c>
      <c r="G1011">
        <v>6</v>
      </c>
      <c r="H1011" t="str" cm="1">
        <f t="array" ref="H1011">_xlfn.XLOOKUP(TRIM(C1011),_xlfn.ANCHORARRAY($L$5),$M$5:$M$18)</f>
        <v>Boul. Express</v>
      </c>
      <c r="I1011" t="str">
        <v>Pain burger</v>
      </c>
      <c r="J1011">
        <f t="shared" si="20"/>
        <v>5</v>
      </c>
    </row>
    <row r="1012" spans="1:10" x14ac:dyDescent="0.25">
      <c r="A1012" t="s">
        <v>1325</v>
      </c>
      <c r="B1012" t="s">
        <v>1322</v>
      </c>
      <c r="C1012" t="s">
        <v>69</v>
      </c>
      <c r="D1012" t="s">
        <v>42</v>
      </c>
      <c r="E1012">
        <v>5</v>
      </c>
      <c r="F1012" t="s">
        <v>43</v>
      </c>
      <c r="G1012">
        <v>3.85</v>
      </c>
      <c r="H1012" t="str" cm="1">
        <f t="array" ref="H1012">_xlfn.XLOOKUP(TRIM(C1012),_xlfn.ANCHORARRAY($L$5),$M$5:$M$18)</f>
        <v>Boul. Express</v>
      </c>
      <c r="I1012" t="str">
        <v>Pain pita</v>
      </c>
      <c r="J1012">
        <f t="shared" si="20"/>
        <v>5</v>
      </c>
    </row>
    <row r="1013" spans="1:10" x14ac:dyDescent="0.25">
      <c r="A1013" t="s">
        <v>1326</v>
      </c>
      <c r="B1013" t="s">
        <v>1327</v>
      </c>
      <c r="C1013" t="s">
        <v>195</v>
      </c>
      <c r="D1013" t="s">
        <v>55</v>
      </c>
      <c r="E1013">
        <v>4</v>
      </c>
      <c r="F1013" t="s">
        <v>17</v>
      </c>
      <c r="G1013">
        <v>9.5399999999999991</v>
      </c>
      <c r="H1013" t="str" cm="1">
        <f t="array" ref="H1013">_xlfn.XLOOKUP(TRIM(C1013),_xlfn.ANCHORARRAY($L$5),$M$5:$M$18)</f>
        <v>Fromag. Centrale</v>
      </c>
      <c r="I1013" t="str">
        <v>Mozzarella</v>
      </c>
      <c r="J1013">
        <f t="shared" si="20"/>
        <v>4</v>
      </c>
    </row>
    <row r="1014" spans="1:10" x14ac:dyDescent="0.25">
      <c r="A1014" t="s">
        <v>1328</v>
      </c>
      <c r="B1014" t="s">
        <v>1329</v>
      </c>
      <c r="C1014" t="s">
        <v>61</v>
      </c>
      <c r="D1014" t="s">
        <v>10</v>
      </c>
      <c r="E1014">
        <v>3</v>
      </c>
      <c r="F1014" t="s">
        <v>11</v>
      </c>
      <c r="G1014">
        <v>15.11</v>
      </c>
      <c r="H1014" t="str" cm="1">
        <f t="array" ref="H1014">_xlfn.XLOOKUP(TRIM(C1014),_xlfn.ANCHORARRAY($L$5),$M$5:$M$18)</f>
        <v>Metro</v>
      </c>
      <c r="I1014" t="str">
        <v>Coca Cola</v>
      </c>
      <c r="J1014">
        <f t="shared" si="20"/>
        <v>3</v>
      </c>
    </row>
    <row r="1015" spans="1:10" x14ac:dyDescent="0.25">
      <c r="A1015" t="s">
        <v>1330</v>
      </c>
      <c r="B1015" t="s">
        <v>1329</v>
      </c>
      <c r="C1015" t="s">
        <v>9</v>
      </c>
      <c r="D1015" t="s">
        <v>14</v>
      </c>
      <c r="E1015">
        <v>3</v>
      </c>
      <c r="F1015" t="s">
        <v>11</v>
      </c>
      <c r="G1015">
        <v>13.38</v>
      </c>
      <c r="H1015" t="str" cm="1">
        <f t="array" ref="H1015">_xlfn.XLOOKUP(TRIM(C1015),_xlfn.ANCHORARRAY($L$5),$M$5:$M$18)</f>
        <v>Metro</v>
      </c>
      <c r="I1015" t="str">
        <v>7up</v>
      </c>
      <c r="J1015">
        <f t="shared" si="20"/>
        <v>3</v>
      </c>
    </row>
    <row r="1016" spans="1:10" x14ac:dyDescent="0.25">
      <c r="A1016" t="s">
        <v>1331</v>
      </c>
      <c r="B1016" t="s">
        <v>1329</v>
      </c>
      <c r="C1016" t="s">
        <v>61</v>
      </c>
      <c r="D1016" t="s">
        <v>16</v>
      </c>
      <c r="E1016">
        <v>3</v>
      </c>
      <c r="F1016" t="s">
        <v>17</v>
      </c>
      <c r="G1016">
        <v>1.26</v>
      </c>
      <c r="H1016" t="str" cm="1">
        <f t="array" ref="H1016">_xlfn.XLOOKUP(TRIM(C1016),_xlfn.ANCHORARRAY($L$5),$M$5:$M$18)</f>
        <v>Metro</v>
      </c>
      <c r="I1016" t="str">
        <v>Sel</v>
      </c>
      <c r="J1016">
        <f t="shared" si="20"/>
        <v>3</v>
      </c>
    </row>
    <row r="1017" spans="1:10" x14ac:dyDescent="0.25">
      <c r="A1017" t="s">
        <v>1332</v>
      </c>
      <c r="B1017" t="s">
        <v>1329</v>
      </c>
      <c r="C1017" t="s">
        <v>23</v>
      </c>
      <c r="D1017" t="s">
        <v>20</v>
      </c>
      <c r="E1017">
        <v>8</v>
      </c>
      <c r="F1017" t="s">
        <v>21</v>
      </c>
      <c r="G1017">
        <v>4.28</v>
      </c>
      <c r="H1017" t="str" cm="1">
        <f t="array" ref="H1017">_xlfn.XLOOKUP(TRIM(C1017),_xlfn.ANCHORARRAY($L$5),$M$5:$M$18)</f>
        <v>LEGUMEX</v>
      </c>
      <c r="I1017" t="str">
        <v>Tomates pelées</v>
      </c>
      <c r="J1017">
        <f t="shared" si="20"/>
        <v>8</v>
      </c>
    </row>
    <row r="1018" spans="1:10" x14ac:dyDescent="0.25">
      <c r="A1018" t="s">
        <v>1333</v>
      </c>
      <c r="B1018" t="s">
        <v>1329</v>
      </c>
      <c r="C1018" t="s">
        <v>23</v>
      </c>
      <c r="D1018" t="s">
        <v>24</v>
      </c>
      <c r="E1018">
        <v>10</v>
      </c>
      <c r="F1018" t="s">
        <v>25</v>
      </c>
      <c r="G1018">
        <v>21.56</v>
      </c>
      <c r="H1018" t="str" cm="1">
        <f t="array" ref="H1018">_xlfn.XLOOKUP(TRIM(C1018),_xlfn.ANCHORARRAY($L$5),$M$5:$M$18)</f>
        <v>LEGUMEX</v>
      </c>
      <c r="I1018" t="str">
        <v>Huile olive</v>
      </c>
      <c r="J1018">
        <f t="shared" si="20"/>
        <v>10</v>
      </c>
    </row>
    <row r="1019" spans="1:10" x14ac:dyDescent="0.25">
      <c r="A1019" t="s">
        <v>1334</v>
      </c>
      <c r="B1019" t="s">
        <v>1329</v>
      </c>
      <c r="C1019" t="s">
        <v>23</v>
      </c>
      <c r="D1019" t="s">
        <v>28</v>
      </c>
      <c r="E1019">
        <v>4</v>
      </c>
      <c r="F1019" t="s">
        <v>29</v>
      </c>
      <c r="G1019">
        <v>9.76</v>
      </c>
      <c r="H1019" t="str" cm="1">
        <f t="array" ref="H1019">_xlfn.XLOOKUP(TRIM(C1019),_xlfn.ANCHORARRAY($L$5),$M$5:$M$18)</f>
        <v>LEGUMEX</v>
      </c>
      <c r="I1019" t="str">
        <v>Sauce tomate</v>
      </c>
      <c r="J1019">
        <f t="shared" si="20"/>
        <v>4</v>
      </c>
    </row>
    <row r="1020" spans="1:10" x14ac:dyDescent="0.25">
      <c r="A1020" t="s">
        <v>1335</v>
      </c>
      <c r="B1020" t="s">
        <v>1336</v>
      </c>
      <c r="C1020" t="s">
        <v>32</v>
      </c>
      <c r="D1020" t="s">
        <v>33</v>
      </c>
      <c r="E1020">
        <v>6</v>
      </c>
      <c r="F1020" t="s">
        <v>17</v>
      </c>
      <c r="G1020">
        <v>9.4499999999999993</v>
      </c>
      <c r="H1020" t="str" cm="1">
        <f t="array" ref="H1020">_xlfn.XLOOKUP(TRIM(C1020),_xlfn.ANCHORARRAY($L$5),$M$5:$M$18)</f>
        <v>B. Halal Pro</v>
      </c>
      <c r="I1020" t="str">
        <v>Viande hachée</v>
      </c>
      <c r="J1020">
        <f t="shared" si="20"/>
        <v>6</v>
      </c>
    </row>
    <row r="1021" spans="1:10" x14ac:dyDescent="0.25">
      <c r="A1021" t="s">
        <v>1337</v>
      </c>
      <c r="B1021" t="s">
        <v>1336</v>
      </c>
      <c r="C1021" t="s">
        <v>64</v>
      </c>
      <c r="D1021" t="s">
        <v>35</v>
      </c>
      <c r="E1021">
        <v>12</v>
      </c>
      <c r="F1021" t="s">
        <v>17</v>
      </c>
      <c r="G1021">
        <v>6.95</v>
      </c>
      <c r="H1021" t="str" cm="1">
        <f t="array" ref="H1021">_xlfn.XLOOKUP(TRIM(C1021),_xlfn.ANCHORARRAY($L$5),$M$5:$M$18)</f>
        <v>B. Halal Pro</v>
      </c>
      <c r="I1021" t="str">
        <v>Poulet émincé</v>
      </c>
      <c r="J1021">
        <f t="shared" si="20"/>
        <v>12</v>
      </c>
    </row>
    <row r="1022" spans="1:10" x14ac:dyDescent="0.25">
      <c r="A1022" t="s">
        <v>1338</v>
      </c>
      <c r="B1022" t="s">
        <v>1336</v>
      </c>
      <c r="C1022" t="s">
        <v>83</v>
      </c>
      <c r="D1022" t="s">
        <v>38</v>
      </c>
      <c r="E1022">
        <v>5</v>
      </c>
      <c r="F1022" t="s">
        <v>39</v>
      </c>
      <c r="G1022">
        <v>5.69</v>
      </c>
      <c r="H1022" t="str" cm="1">
        <f t="array" ref="H1022">_xlfn.XLOOKUP(TRIM(C1022),_xlfn.ANCHORARRAY($L$5),$M$5:$M$18)</f>
        <v>Boul. Express</v>
      </c>
      <c r="I1022" t="str">
        <v>Pain burger</v>
      </c>
      <c r="J1022">
        <f t="shared" si="20"/>
        <v>5</v>
      </c>
    </row>
    <row r="1023" spans="1:10" x14ac:dyDescent="0.25">
      <c r="A1023" t="s">
        <v>1339</v>
      </c>
      <c r="B1023" t="s">
        <v>1336</v>
      </c>
      <c r="C1023" t="s">
        <v>41</v>
      </c>
      <c r="D1023" t="s">
        <v>42</v>
      </c>
      <c r="E1023">
        <v>12</v>
      </c>
      <c r="F1023" t="s">
        <v>43</v>
      </c>
      <c r="G1023">
        <v>3.94</v>
      </c>
      <c r="H1023" t="str" cm="1">
        <f t="array" ref="H1023">_xlfn.XLOOKUP(TRIM(C1023),_xlfn.ANCHORARRAY($L$5),$M$5:$M$18)</f>
        <v>Boul. Express</v>
      </c>
      <c r="I1023" t="str">
        <v>Pain pita</v>
      </c>
      <c r="J1023">
        <f t="shared" si="20"/>
        <v>12</v>
      </c>
    </row>
    <row r="1024" spans="1:10" x14ac:dyDescent="0.25">
      <c r="A1024" t="s">
        <v>1340</v>
      </c>
      <c r="B1024" t="s">
        <v>1341</v>
      </c>
      <c r="C1024" t="s">
        <v>46</v>
      </c>
      <c r="D1024" t="s">
        <v>20</v>
      </c>
      <c r="E1024">
        <v>4</v>
      </c>
      <c r="F1024" t="s">
        <v>21</v>
      </c>
      <c r="G1024">
        <v>4.21</v>
      </c>
      <c r="H1024" t="str" cm="1">
        <f t="array" ref="H1024">_xlfn.XLOOKUP(TRIM(C1024),_xlfn.ANCHORARRAY($L$5),$M$5:$M$18)</f>
        <v>LEGUMEX</v>
      </c>
      <c r="I1024" t="str">
        <v>Tomates pelées</v>
      </c>
      <c r="J1024">
        <f t="shared" si="20"/>
        <v>4</v>
      </c>
    </row>
    <row r="1025" spans="1:10" x14ac:dyDescent="0.25">
      <c r="A1025" t="s">
        <v>1342</v>
      </c>
      <c r="B1025" t="s">
        <v>1341</v>
      </c>
      <c r="C1025" t="s">
        <v>46</v>
      </c>
      <c r="D1025" t="s">
        <v>24</v>
      </c>
      <c r="E1025">
        <v>10</v>
      </c>
      <c r="F1025" t="s">
        <v>25</v>
      </c>
      <c r="G1025">
        <v>21.65</v>
      </c>
      <c r="H1025" t="str" cm="1">
        <f t="array" ref="H1025">_xlfn.XLOOKUP(TRIM(C1025),_xlfn.ANCHORARRAY($L$5),$M$5:$M$18)</f>
        <v>LEGUMEX</v>
      </c>
      <c r="I1025" t="str">
        <v>Huile olive</v>
      </c>
      <c r="J1025">
        <f t="shared" si="20"/>
        <v>10</v>
      </c>
    </row>
    <row r="1026" spans="1:10" x14ac:dyDescent="0.25">
      <c r="A1026" t="s">
        <v>1343</v>
      </c>
      <c r="B1026" t="s">
        <v>1341</v>
      </c>
      <c r="C1026" t="s">
        <v>46</v>
      </c>
      <c r="D1026" t="s">
        <v>28</v>
      </c>
      <c r="E1026">
        <v>10</v>
      </c>
      <c r="F1026" t="s">
        <v>29</v>
      </c>
      <c r="G1026">
        <v>10.57</v>
      </c>
      <c r="H1026" t="str" cm="1">
        <f t="array" ref="H1026">_xlfn.XLOOKUP(TRIM(C1026),_xlfn.ANCHORARRAY($L$5),$M$5:$M$18)</f>
        <v>LEGUMEX</v>
      </c>
      <c r="I1026" t="str">
        <v>Sauce tomate</v>
      </c>
      <c r="J1026">
        <f t="shared" ref="J1026:J1089" si="21">IF(E1026&lt;&gt;0,E1026,_xlfn.XLOOKUP(I1026,$Q$5:$Q$16,$Y$5:$Y$16))</f>
        <v>10</v>
      </c>
    </row>
    <row r="1027" spans="1:10" x14ac:dyDescent="0.25">
      <c r="A1027" t="s">
        <v>1344</v>
      </c>
      <c r="B1027" t="s">
        <v>1341</v>
      </c>
      <c r="C1027" t="s">
        <v>50</v>
      </c>
      <c r="D1027" t="s">
        <v>51</v>
      </c>
      <c r="E1027">
        <v>4</v>
      </c>
      <c r="F1027" t="s">
        <v>52</v>
      </c>
      <c r="G1027">
        <v>18.68</v>
      </c>
      <c r="H1027" t="str" cm="1">
        <f t="array" ref="H1027">_xlfn.XLOOKUP(TRIM(C1027),_xlfn.ANCHORARRAY($L$5),$M$5:$M$18)</f>
        <v>Moulin du Nord</v>
      </c>
      <c r="I1027" t="str">
        <v>Farine</v>
      </c>
      <c r="J1027">
        <f t="shared" si="21"/>
        <v>4</v>
      </c>
    </row>
    <row r="1028" spans="1:10" x14ac:dyDescent="0.25">
      <c r="A1028" t="s">
        <v>1345</v>
      </c>
      <c r="B1028" t="s">
        <v>1341</v>
      </c>
      <c r="C1028" t="s">
        <v>54</v>
      </c>
      <c r="D1028" t="s">
        <v>55</v>
      </c>
      <c r="E1028">
        <v>10</v>
      </c>
      <c r="F1028" t="s">
        <v>17</v>
      </c>
      <c r="G1028">
        <v>9.16</v>
      </c>
      <c r="H1028" t="str" cm="1">
        <f t="array" ref="H1028">_xlfn.XLOOKUP(TRIM(C1028),_xlfn.ANCHORARRAY($L$5),$M$5:$M$18)</f>
        <v>Fromag. Centrale</v>
      </c>
      <c r="I1028" t="str">
        <v>Mozzarella</v>
      </c>
      <c r="J1028">
        <f t="shared" si="21"/>
        <v>10</v>
      </c>
    </row>
    <row r="1029" spans="1:10" x14ac:dyDescent="0.25">
      <c r="A1029" t="s">
        <v>1346</v>
      </c>
      <c r="B1029" t="s">
        <v>1347</v>
      </c>
      <c r="C1029" t="s">
        <v>97</v>
      </c>
      <c r="D1029" t="s">
        <v>10</v>
      </c>
      <c r="E1029">
        <v>5</v>
      </c>
      <c r="F1029" t="s">
        <v>11</v>
      </c>
      <c r="G1029">
        <v>14.97</v>
      </c>
      <c r="H1029" t="str" cm="1">
        <f t="array" ref="H1029">_xlfn.XLOOKUP(TRIM(C1029),_xlfn.ANCHORARRAY($L$5),$M$5:$M$18)</f>
        <v>Metro</v>
      </c>
      <c r="I1029" t="str">
        <v>Coca Cola</v>
      </c>
      <c r="J1029">
        <f t="shared" si="21"/>
        <v>5</v>
      </c>
    </row>
    <row r="1030" spans="1:10" x14ac:dyDescent="0.25">
      <c r="A1030" t="s">
        <v>1348</v>
      </c>
      <c r="B1030" t="s">
        <v>1347</v>
      </c>
      <c r="C1030" t="s">
        <v>13</v>
      </c>
      <c r="D1030" t="s">
        <v>14</v>
      </c>
      <c r="E1030">
        <v>3</v>
      </c>
      <c r="F1030" t="s">
        <v>11</v>
      </c>
      <c r="G1030">
        <v>13.69</v>
      </c>
      <c r="H1030" t="str" cm="1">
        <f t="array" ref="H1030">_xlfn.XLOOKUP(TRIM(C1030),_xlfn.ANCHORARRAY($L$5),$M$5:$M$18)</f>
        <v>Metro</v>
      </c>
      <c r="I1030" t="str">
        <v>7up</v>
      </c>
      <c r="J1030">
        <f t="shared" si="21"/>
        <v>3</v>
      </c>
    </row>
    <row r="1031" spans="1:10" x14ac:dyDescent="0.25">
      <c r="A1031" t="s">
        <v>1349</v>
      </c>
      <c r="B1031" t="s">
        <v>1347</v>
      </c>
      <c r="C1031" t="s">
        <v>13</v>
      </c>
      <c r="D1031" t="s">
        <v>16</v>
      </c>
      <c r="E1031">
        <v>3</v>
      </c>
      <c r="F1031" t="s">
        <v>17</v>
      </c>
      <c r="G1031">
        <v>1.19</v>
      </c>
      <c r="H1031" t="str" cm="1">
        <f t="array" ref="H1031">_xlfn.XLOOKUP(TRIM(C1031),_xlfn.ANCHORARRAY($L$5),$M$5:$M$18)</f>
        <v>Metro</v>
      </c>
      <c r="I1031" t="str">
        <v>Sel</v>
      </c>
      <c r="J1031">
        <f t="shared" si="21"/>
        <v>3</v>
      </c>
    </row>
    <row r="1032" spans="1:10" x14ac:dyDescent="0.25">
      <c r="A1032" t="s">
        <v>1350</v>
      </c>
      <c r="B1032" t="s">
        <v>1351</v>
      </c>
      <c r="C1032" t="s">
        <v>32</v>
      </c>
      <c r="D1032" t="s">
        <v>33</v>
      </c>
      <c r="E1032">
        <v>12</v>
      </c>
      <c r="F1032" t="s">
        <v>17</v>
      </c>
      <c r="G1032">
        <v>10.19</v>
      </c>
      <c r="H1032" t="str" cm="1">
        <f t="array" ref="H1032">_xlfn.XLOOKUP(TRIM(C1032),_xlfn.ANCHORARRAY($L$5),$M$5:$M$18)</f>
        <v>B. Halal Pro</v>
      </c>
      <c r="I1032" t="str">
        <v>Viande hachée</v>
      </c>
      <c r="J1032">
        <f t="shared" si="21"/>
        <v>12</v>
      </c>
    </row>
    <row r="1033" spans="1:10" x14ac:dyDescent="0.25">
      <c r="A1033" t="s">
        <v>1352</v>
      </c>
      <c r="B1033" t="s">
        <v>1351</v>
      </c>
      <c r="C1033" t="s">
        <v>64</v>
      </c>
      <c r="D1033" t="s">
        <v>35</v>
      </c>
      <c r="E1033">
        <v>5</v>
      </c>
      <c r="F1033" t="s">
        <v>17</v>
      </c>
      <c r="G1033">
        <v>6.81</v>
      </c>
      <c r="H1033" t="str" cm="1">
        <f t="array" ref="H1033">_xlfn.XLOOKUP(TRIM(C1033),_xlfn.ANCHORARRAY($L$5),$M$5:$M$18)</f>
        <v>B. Halal Pro</v>
      </c>
      <c r="I1033" t="str">
        <v>Poulet émincé</v>
      </c>
      <c r="J1033">
        <f t="shared" si="21"/>
        <v>5</v>
      </c>
    </row>
    <row r="1034" spans="1:10" x14ac:dyDescent="0.25">
      <c r="A1034" t="s">
        <v>1353</v>
      </c>
      <c r="B1034" t="s">
        <v>1351</v>
      </c>
      <c r="C1034" t="s">
        <v>83</v>
      </c>
      <c r="D1034" t="s">
        <v>38</v>
      </c>
      <c r="E1034">
        <v>12</v>
      </c>
      <c r="F1034" t="s">
        <v>39</v>
      </c>
      <c r="G1034">
        <v>5.85</v>
      </c>
      <c r="H1034" t="str" cm="1">
        <f t="array" ref="H1034">_xlfn.XLOOKUP(TRIM(C1034),_xlfn.ANCHORARRAY($L$5),$M$5:$M$18)</f>
        <v>Boul. Express</v>
      </c>
      <c r="I1034" t="str">
        <v>Pain burger</v>
      </c>
      <c r="J1034">
        <f t="shared" si="21"/>
        <v>12</v>
      </c>
    </row>
    <row r="1035" spans="1:10" x14ac:dyDescent="0.25">
      <c r="A1035" t="s">
        <v>1354</v>
      </c>
      <c r="B1035" t="s">
        <v>1351</v>
      </c>
      <c r="C1035" t="s">
        <v>37</v>
      </c>
      <c r="D1035" t="s">
        <v>42</v>
      </c>
      <c r="E1035">
        <v>5</v>
      </c>
      <c r="F1035" t="s">
        <v>43</v>
      </c>
      <c r="G1035">
        <v>3.87</v>
      </c>
      <c r="H1035" t="str" cm="1">
        <f t="array" ref="H1035">_xlfn.XLOOKUP(TRIM(C1035),_xlfn.ANCHORARRAY($L$5),$M$5:$M$18)</f>
        <v>Boul. Express</v>
      </c>
      <c r="I1035" t="str">
        <v>Pain pita</v>
      </c>
      <c r="J1035">
        <f t="shared" si="21"/>
        <v>5</v>
      </c>
    </row>
    <row r="1036" spans="1:10" x14ac:dyDescent="0.25">
      <c r="A1036" t="s">
        <v>1355</v>
      </c>
      <c r="B1036" t="s">
        <v>1356</v>
      </c>
      <c r="C1036" t="s">
        <v>195</v>
      </c>
      <c r="D1036" t="s">
        <v>55</v>
      </c>
      <c r="E1036">
        <v>10</v>
      </c>
      <c r="F1036" t="s">
        <v>17</v>
      </c>
      <c r="G1036">
        <v>9.69</v>
      </c>
      <c r="H1036" t="str" cm="1">
        <f t="array" ref="H1036">_xlfn.XLOOKUP(TRIM(C1036),_xlfn.ANCHORARRAY($L$5),$M$5:$M$18)</f>
        <v>Fromag. Centrale</v>
      </c>
      <c r="I1036" t="str">
        <v>Mozzarella</v>
      </c>
      <c r="J1036">
        <f t="shared" si="21"/>
        <v>10</v>
      </c>
    </row>
    <row r="1037" spans="1:10" x14ac:dyDescent="0.25">
      <c r="A1037" t="s">
        <v>1357</v>
      </c>
      <c r="B1037" t="s">
        <v>1358</v>
      </c>
      <c r="C1037" t="s">
        <v>61</v>
      </c>
      <c r="D1037" t="s">
        <v>10</v>
      </c>
      <c r="E1037">
        <v>5</v>
      </c>
      <c r="F1037" t="s">
        <v>11</v>
      </c>
      <c r="G1037">
        <v>14.89</v>
      </c>
      <c r="H1037" t="str" cm="1">
        <f t="array" ref="H1037">_xlfn.XLOOKUP(TRIM(C1037),_xlfn.ANCHORARRAY($L$5),$M$5:$M$18)</f>
        <v>Metro</v>
      </c>
      <c r="I1037" t="str">
        <v>Coca Cola</v>
      </c>
      <c r="J1037">
        <f t="shared" si="21"/>
        <v>5</v>
      </c>
    </row>
    <row r="1038" spans="1:10" x14ac:dyDescent="0.25">
      <c r="A1038" t="s">
        <v>1359</v>
      </c>
      <c r="B1038" t="s">
        <v>1358</v>
      </c>
      <c r="C1038" t="s">
        <v>13</v>
      </c>
      <c r="D1038" t="s">
        <v>14</v>
      </c>
      <c r="E1038">
        <v>6</v>
      </c>
      <c r="F1038" t="s">
        <v>11</v>
      </c>
      <c r="G1038">
        <v>13.33</v>
      </c>
      <c r="H1038" t="str" cm="1">
        <f t="array" ref="H1038">_xlfn.XLOOKUP(TRIM(C1038),_xlfn.ANCHORARRAY($L$5),$M$5:$M$18)</f>
        <v>Metro</v>
      </c>
      <c r="I1038" t="str">
        <v>7up</v>
      </c>
      <c r="J1038">
        <f t="shared" si="21"/>
        <v>6</v>
      </c>
    </row>
    <row r="1039" spans="1:10" x14ac:dyDescent="0.25">
      <c r="A1039" t="s">
        <v>1360</v>
      </c>
      <c r="B1039" t="s">
        <v>1358</v>
      </c>
      <c r="C1039" t="s">
        <v>61</v>
      </c>
      <c r="D1039" t="s">
        <v>16</v>
      </c>
      <c r="E1039">
        <v>5</v>
      </c>
      <c r="F1039" t="s">
        <v>17</v>
      </c>
      <c r="G1039">
        <v>1.19</v>
      </c>
      <c r="H1039" t="str" cm="1">
        <f t="array" ref="H1039">_xlfn.XLOOKUP(TRIM(C1039),_xlfn.ANCHORARRAY($L$5),$M$5:$M$18)</f>
        <v>Metro</v>
      </c>
      <c r="I1039" t="str">
        <v>Sel</v>
      </c>
      <c r="J1039">
        <f t="shared" si="21"/>
        <v>5</v>
      </c>
    </row>
    <row r="1040" spans="1:10" x14ac:dyDescent="0.25">
      <c r="A1040" t="s">
        <v>1361</v>
      </c>
      <c r="B1040" t="s">
        <v>1358</v>
      </c>
      <c r="C1040" t="s">
        <v>19</v>
      </c>
      <c r="D1040" t="s">
        <v>20</v>
      </c>
      <c r="E1040">
        <v>4</v>
      </c>
      <c r="F1040" t="s">
        <v>21</v>
      </c>
      <c r="G1040">
        <v>4.33</v>
      </c>
      <c r="H1040" t="str" cm="1">
        <f t="array" ref="H1040">_xlfn.XLOOKUP(TRIM(C1040),_xlfn.ANCHORARRAY($L$5),$M$5:$M$18)</f>
        <v>LEGUMEX</v>
      </c>
      <c r="I1040" t="str">
        <v>Tomates pelées</v>
      </c>
      <c r="J1040">
        <f t="shared" si="21"/>
        <v>4</v>
      </c>
    </row>
    <row r="1041" spans="1:10" x14ac:dyDescent="0.25">
      <c r="A1041" t="s">
        <v>1362</v>
      </c>
      <c r="B1041" t="s">
        <v>1358</v>
      </c>
      <c r="C1041" t="s">
        <v>27</v>
      </c>
      <c r="D1041" t="s">
        <v>24</v>
      </c>
      <c r="E1041">
        <v>4</v>
      </c>
      <c r="F1041" t="s">
        <v>25</v>
      </c>
      <c r="G1041">
        <v>23.69</v>
      </c>
      <c r="H1041" t="str" cm="1">
        <f t="array" ref="H1041">_xlfn.XLOOKUP(TRIM(C1041),_xlfn.ANCHORARRAY($L$5),$M$5:$M$18)</f>
        <v>LEGUMEX</v>
      </c>
      <c r="I1041" t="str">
        <v>Huile olive</v>
      </c>
      <c r="J1041">
        <f t="shared" si="21"/>
        <v>4</v>
      </c>
    </row>
    <row r="1042" spans="1:10" x14ac:dyDescent="0.25">
      <c r="A1042" t="s">
        <v>1363</v>
      </c>
      <c r="B1042" t="s">
        <v>1358</v>
      </c>
      <c r="C1042" t="s">
        <v>23</v>
      </c>
      <c r="D1042" t="s">
        <v>28</v>
      </c>
      <c r="E1042">
        <v>10</v>
      </c>
      <c r="F1042" t="s">
        <v>29</v>
      </c>
      <c r="G1042">
        <v>9.76</v>
      </c>
      <c r="H1042" t="str" cm="1">
        <f t="array" ref="H1042">_xlfn.XLOOKUP(TRIM(C1042),_xlfn.ANCHORARRAY($L$5),$M$5:$M$18)</f>
        <v>LEGUMEX</v>
      </c>
      <c r="I1042" t="str">
        <v>Sauce tomate</v>
      </c>
      <c r="J1042">
        <f t="shared" si="21"/>
        <v>10</v>
      </c>
    </row>
    <row r="1043" spans="1:10" x14ac:dyDescent="0.25">
      <c r="A1043" t="s">
        <v>1364</v>
      </c>
      <c r="B1043" t="s">
        <v>1365</v>
      </c>
      <c r="C1043" t="s">
        <v>100</v>
      </c>
      <c r="D1043" t="s">
        <v>33</v>
      </c>
      <c r="E1043">
        <v>5</v>
      </c>
      <c r="F1043" t="s">
        <v>17</v>
      </c>
      <c r="G1043">
        <v>9.5399999999999991</v>
      </c>
      <c r="H1043" t="str" cm="1">
        <f t="array" ref="H1043">_xlfn.XLOOKUP(TRIM(C1043),_xlfn.ANCHORARRAY($L$5),$M$5:$M$18)</f>
        <v>B. Halal Pro</v>
      </c>
      <c r="I1043" t="str">
        <v>Viande hachée</v>
      </c>
      <c r="J1043">
        <f t="shared" si="21"/>
        <v>5</v>
      </c>
    </row>
    <row r="1044" spans="1:10" x14ac:dyDescent="0.25">
      <c r="A1044" t="s">
        <v>1366</v>
      </c>
      <c r="B1044" t="s">
        <v>1365</v>
      </c>
      <c r="C1044" t="s">
        <v>32</v>
      </c>
      <c r="D1044" t="s">
        <v>35</v>
      </c>
      <c r="E1044">
        <v>12</v>
      </c>
      <c r="F1044" t="s">
        <v>17</v>
      </c>
      <c r="G1044">
        <v>7.46</v>
      </c>
      <c r="H1044" t="str" cm="1">
        <f t="array" ref="H1044">_xlfn.XLOOKUP(TRIM(C1044),_xlfn.ANCHORARRAY($L$5),$M$5:$M$18)</f>
        <v>B. Halal Pro</v>
      </c>
      <c r="I1044" t="str">
        <v>Poulet émincé</v>
      </c>
      <c r="J1044">
        <f t="shared" si="21"/>
        <v>12</v>
      </c>
    </row>
    <row r="1045" spans="1:10" x14ac:dyDescent="0.25">
      <c r="A1045" t="s">
        <v>1367</v>
      </c>
      <c r="B1045" t="s">
        <v>1365</v>
      </c>
      <c r="C1045" t="s">
        <v>37</v>
      </c>
      <c r="D1045" t="s">
        <v>38</v>
      </c>
      <c r="E1045">
        <v>10</v>
      </c>
      <c r="F1045" t="s">
        <v>39</v>
      </c>
      <c r="G1045">
        <v>5.8</v>
      </c>
      <c r="H1045" t="str" cm="1">
        <f t="array" ref="H1045">_xlfn.XLOOKUP(TRIM(C1045),_xlfn.ANCHORARRAY($L$5),$M$5:$M$18)</f>
        <v>Boul. Express</v>
      </c>
      <c r="I1045" t="str">
        <v>Pain burger</v>
      </c>
      <c r="J1045">
        <f t="shared" si="21"/>
        <v>10</v>
      </c>
    </row>
    <row r="1046" spans="1:10" x14ac:dyDescent="0.25">
      <c r="A1046" t="s">
        <v>1368</v>
      </c>
      <c r="B1046" t="s">
        <v>1365</v>
      </c>
      <c r="C1046" t="s">
        <v>83</v>
      </c>
      <c r="D1046" t="s">
        <v>42</v>
      </c>
      <c r="E1046">
        <v>12</v>
      </c>
      <c r="F1046" t="s">
        <v>43</v>
      </c>
      <c r="G1046">
        <v>3.93</v>
      </c>
      <c r="H1046" t="str" cm="1">
        <f t="array" ref="H1046">_xlfn.XLOOKUP(TRIM(C1046),_xlfn.ANCHORARRAY($L$5),$M$5:$M$18)</f>
        <v>Boul. Express</v>
      </c>
      <c r="I1046" t="str">
        <v>Pain pita</v>
      </c>
      <c r="J1046">
        <f t="shared" si="21"/>
        <v>12</v>
      </c>
    </row>
    <row r="1047" spans="1:10" x14ac:dyDescent="0.25">
      <c r="A1047" t="s">
        <v>1369</v>
      </c>
      <c r="B1047" t="s">
        <v>1370</v>
      </c>
      <c r="C1047" t="s">
        <v>46</v>
      </c>
      <c r="D1047" t="s">
        <v>20</v>
      </c>
      <c r="E1047">
        <v>4</v>
      </c>
      <c r="F1047" t="s">
        <v>21</v>
      </c>
      <c r="G1047">
        <v>4.09</v>
      </c>
      <c r="H1047" t="str" cm="1">
        <f t="array" ref="H1047">_xlfn.XLOOKUP(TRIM(C1047),_xlfn.ANCHORARRAY($L$5),$M$5:$M$18)</f>
        <v>LEGUMEX</v>
      </c>
      <c r="I1047" t="str">
        <v>Tomates pelées</v>
      </c>
      <c r="J1047">
        <f t="shared" si="21"/>
        <v>4</v>
      </c>
    </row>
    <row r="1048" spans="1:10" x14ac:dyDescent="0.25">
      <c r="A1048" t="s">
        <v>1371</v>
      </c>
      <c r="B1048" t="s">
        <v>1370</v>
      </c>
      <c r="C1048" t="s">
        <v>46</v>
      </c>
      <c r="D1048" t="s">
        <v>24</v>
      </c>
      <c r="E1048">
        <v>4</v>
      </c>
      <c r="F1048" t="s">
        <v>25</v>
      </c>
      <c r="G1048">
        <v>21.87</v>
      </c>
      <c r="H1048" t="str" cm="1">
        <f t="array" ref="H1048">_xlfn.XLOOKUP(TRIM(C1048),_xlfn.ANCHORARRAY($L$5),$M$5:$M$18)</f>
        <v>LEGUMEX</v>
      </c>
      <c r="I1048" t="str">
        <v>Huile olive</v>
      </c>
      <c r="J1048">
        <f t="shared" si="21"/>
        <v>4</v>
      </c>
    </row>
    <row r="1049" spans="1:10" x14ac:dyDescent="0.25">
      <c r="A1049" t="s">
        <v>1372</v>
      </c>
      <c r="B1049" t="s">
        <v>1370</v>
      </c>
      <c r="C1049" t="s">
        <v>46</v>
      </c>
      <c r="D1049" t="s">
        <v>28</v>
      </c>
      <c r="E1049">
        <v>8</v>
      </c>
      <c r="F1049" t="s">
        <v>29</v>
      </c>
      <c r="G1049">
        <v>10.43</v>
      </c>
      <c r="H1049" t="str" cm="1">
        <f t="array" ref="H1049">_xlfn.XLOOKUP(TRIM(C1049),_xlfn.ANCHORARRAY($L$5),$M$5:$M$18)</f>
        <v>LEGUMEX</v>
      </c>
      <c r="I1049" t="str">
        <v>Sauce tomate</v>
      </c>
      <c r="J1049">
        <f t="shared" si="21"/>
        <v>8</v>
      </c>
    </row>
    <row r="1050" spans="1:10" x14ac:dyDescent="0.25">
      <c r="A1050" t="s">
        <v>1373</v>
      </c>
      <c r="B1050" t="s">
        <v>1370</v>
      </c>
      <c r="C1050" t="s">
        <v>50</v>
      </c>
      <c r="D1050" t="s">
        <v>51</v>
      </c>
      <c r="E1050">
        <v>2</v>
      </c>
      <c r="F1050" t="s">
        <v>52</v>
      </c>
      <c r="G1050">
        <v>18.7</v>
      </c>
      <c r="H1050" t="str" cm="1">
        <f t="array" ref="H1050">_xlfn.XLOOKUP(TRIM(C1050),_xlfn.ANCHORARRAY($L$5),$M$5:$M$18)</f>
        <v>Moulin du Nord</v>
      </c>
      <c r="I1050" t="str">
        <v>Farine</v>
      </c>
      <c r="J1050">
        <f t="shared" si="21"/>
        <v>2</v>
      </c>
    </row>
    <row r="1051" spans="1:10" x14ac:dyDescent="0.25">
      <c r="A1051" t="s">
        <v>1374</v>
      </c>
      <c r="B1051" t="s">
        <v>1370</v>
      </c>
      <c r="C1051" t="s">
        <v>195</v>
      </c>
      <c r="D1051" t="s">
        <v>55</v>
      </c>
      <c r="E1051">
        <v>4</v>
      </c>
      <c r="F1051" t="s">
        <v>17</v>
      </c>
      <c r="G1051">
        <v>9.34</v>
      </c>
      <c r="H1051" t="str" cm="1">
        <f t="array" ref="H1051">_xlfn.XLOOKUP(TRIM(C1051),_xlfn.ANCHORARRAY($L$5),$M$5:$M$18)</f>
        <v>Fromag. Centrale</v>
      </c>
      <c r="I1051" t="str">
        <v>Mozzarella</v>
      </c>
      <c r="J1051">
        <f t="shared" si="21"/>
        <v>4</v>
      </c>
    </row>
    <row r="1052" spans="1:10" x14ac:dyDescent="0.25">
      <c r="A1052" t="s">
        <v>1375</v>
      </c>
      <c r="B1052" t="s">
        <v>1376</v>
      </c>
      <c r="C1052" t="s">
        <v>97</v>
      </c>
      <c r="D1052" t="s">
        <v>10</v>
      </c>
      <c r="E1052">
        <v>3</v>
      </c>
      <c r="F1052" t="s">
        <v>11</v>
      </c>
      <c r="G1052">
        <v>14.46</v>
      </c>
      <c r="H1052" t="str" cm="1">
        <f t="array" ref="H1052">_xlfn.XLOOKUP(TRIM(C1052),_xlfn.ANCHORARRAY($L$5),$M$5:$M$18)</f>
        <v>Metro</v>
      </c>
      <c r="I1052" t="str">
        <v>Coca Cola</v>
      </c>
      <c r="J1052">
        <f t="shared" si="21"/>
        <v>3</v>
      </c>
    </row>
    <row r="1053" spans="1:10" x14ac:dyDescent="0.25">
      <c r="A1053" t="s">
        <v>1377</v>
      </c>
      <c r="B1053" t="s">
        <v>1376</v>
      </c>
      <c r="C1053" t="s">
        <v>13</v>
      </c>
      <c r="D1053" t="s">
        <v>14</v>
      </c>
      <c r="E1053">
        <v>4</v>
      </c>
      <c r="F1053" t="s">
        <v>11</v>
      </c>
      <c r="G1053">
        <v>13.75</v>
      </c>
      <c r="H1053" t="str" cm="1">
        <f t="array" ref="H1053">_xlfn.XLOOKUP(TRIM(C1053),_xlfn.ANCHORARRAY($L$5),$M$5:$M$18)</f>
        <v>Metro</v>
      </c>
      <c r="I1053" t="str">
        <v>7up</v>
      </c>
      <c r="J1053">
        <f t="shared" si="21"/>
        <v>4</v>
      </c>
    </row>
    <row r="1054" spans="1:10" x14ac:dyDescent="0.25">
      <c r="A1054" t="s">
        <v>1378</v>
      </c>
      <c r="B1054" t="s">
        <v>1376</v>
      </c>
      <c r="C1054" t="s">
        <v>97</v>
      </c>
      <c r="D1054" t="s">
        <v>16</v>
      </c>
      <c r="E1054">
        <v>3</v>
      </c>
      <c r="F1054" t="s">
        <v>17</v>
      </c>
      <c r="G1054">
        <v>1.24</v>
      </c>
      <c r="H1054" t="str" cm="1">
        <f t="array" ref="H1054">_xlfn.XLOOKUP(TRIM(C1054),_xlfn.ANCHORARRAY($L$5),$M$5:$M$18)</f>
        <v>Metro</v>
      </c>
      <c r="I1054" t="str">
        <v>Sel</v>
      </c>
      <c r="J1054">
        <f t="shared" si="21"/>
        <v>3</v>
      </c>
    </row>
    <row r="1055" spans="1:10" x14ac:dyDescent="0.25">
      <c r="A1055" t="s">
        <v>1379</v>
      </c>
      <c r="B1055" t="s">
        <v>1380</v>
      </c>
      <c r="C1055" t="s">
        <v>32</v>
      </c>
      <c r="D1055" t="s">
        <v>33</v>
      </c>
      <c r="E1055">
        <v>8</v>
      </c>
      <c r="F1055" t="s">
        <v>17</v>
      </c>
      <c r="G1055">
        <v>8.57</v>
      </c>
      <c r="H1055" t="str" cm="1">
        <f t="array" ref="H1055">_xlfn.XLOOKUP(TRIM(C1055),_xlfn.ANCHORARRAY($L$5),$M$5:$M$18)</f>
        <v>B. Halal Pro</v>
      </c>
      <c r="I1055" t="str">
        <v>Viande hachée</v>
      </c>
      <c r="J1055">
        <f t="shared" si="21"/>
        <v>8</v>
      </c>
    </row>
    <row r="1056" spans="1:10" x14ac:dyDescent="0.25">
      <c r="A1056" t="s">
        <v>1381</v>
      </c>
      <c r="B1056" t="s">
        <v>1380</v>
      </c>
      <c r="C1056" t="s">
        <v>100</v>
      </c>
      <c r="D1056" t="s">
        <v>35</v>
      </c>
      <c r="E1056">
        <v>8</v>
      </c>
      <c r="F1056" t="s">
        <v>17</v>
      </c>
      <c r="G1056">
        <v>7.17</v>
      </c>
      <c r="H1056" t="str" cm="1">
        <f t="array" ref="H1056">_xlfn.XLOOKUP(TRIM(C1056),_xlfn.ANCHORARRAY($L$5),$M$5:$M$18)</f>
        <v>B. Halal Pro</v>
      </c>
      <c r="I1056" t="str">
        <v>Poulet émincé</v>
      </c>
      <c r="J1056">
        <f t="shared" si="21"/>
        <v>8</v>
      </c>
    </row>
    <row r="1057" spans="1:10" x14ac:dyDescent="0.25">
      <c r="A1057" t="s">
        <v>1382</v>
      </c>
      <c r="B1057" t="s">
        <v>1380</v>
      </c>
      <c r="C1057" t="s">
        <v>37</v>
      </c>
      <c r="D1057" t="s">
        <v>38</v>
      </c>
      <c r="E1057">
        <v>8</v>
      </c>
      <c r="F1057" t="s">
        <v>39</v>
      </c>
      <c r="G1057">
        <v>5.75</v>
      </c>
      <c r="H1057" t="str" cm="1">
        <f t="array" ref="H1057">_xlfn.XLOOKUP(TRIM(C1057),_xlfn.ANCHORARRAY($L$5),$M$5:$M$18)</f>
        <v>Boul. Express</v>
      </c>
      <c r="I1057" t="str">
        <v>Pain burger</v>
      </c>
      <c r="J1057">
        <f t="shared" si="21"/>
        <v>8</v>
      </c>
    </row>
    <row r="1058" spans="1:10" x14ac:dyDescent="0.25">
      <c r="A1058" t="s">
        <v>1383</v>
      </c>
      <c r="B1058" t="s">
        <v>1380</v>
      </c>
      <c r="C1058" t="s">
        <v>83</v>
      </c>
      <c r="D1058" t="s">
        <v>42</v>
      </c>
      <c r="E1058">
        <v>8</v>
      </c>
      <c r="F1058" t="s">
        <v>43</v>
      </c>
      <c r="G1058">
        <v>3.88</v>
      </c>
      <c r="H1058" t="str" cm="1">
        <f t="array" ref="H1058">_xlfn.XLOOKUP(TRIM(C1058),_xlfn.ANCHORARRAY($L$5),$M$5:$M$18)</f>
        <v>Boul. Express</v>
      </c>
      <c r="I1058" t="str">
        <v>Pain pita</v>
      </c>
      <c r="J1058">
        <f t="shared" si="21"/>
        <v>8</v>
      </c>
    </row>
    <row r="1059" spans="1:10" x14ac:dyDescent="0.25">
      <c r="A1059" t="s">
        <v>1384</v>
      </c>
      <c r="B1059" t="s">
        <v>1385</v>
      </c>
      <c r="C1059" t="s">
        <v>92</v>
      </c>
      <c r="D1059" t="s">
        <v>55</v>
      </c>
      <c r="E1059">
        <v>6</v>
      </c>
      <c r="F1059" t="s">
        <v>17</v>
      </c>
      <c r="G1059">
        <v>8.69</v>
      </c>
      <c r="H1059" t="str" cm="1">
        <f t="array" ref="H1059">_xlfn.XLOOKUP(TRIM(C1059),_xlfn.ANCHORARRAY($L$5),$M$5:$M$18)</f>
        <v>Fromag. Centrale</v>
      </c>
      <c r="I1059" t="str">
        <v>Mozzarella</v>
      </c>
      <c r="J1059">
        <f t="shared" si="21"/>
        <v>6</v>
      </c>
    </row>
    <row r="1060" spans="1:10" x14ac:dyDescent="0.25">
      <c r="A1060" t="s">
        <v>1386</v>
      </c>
      <c r="B1060" t="s">
        <v>1387</v>
      </c>
      <c r="C1060" t="s">
        <v>97</v>
      </c>
      <c r="D1060" t="s">
        <v>10</v>
      </c>
      <c r="E1060">
        <v>4</v>
      </c>
      <c r="F1060" t="s">
        <v>11</v>
      </c>
      <c r="G1060">
        <v>14.98</v>
      </c>
      <c r="H1060" t="str" cm="1">
        <f t="array" ref="H1060">_xlfn.XLOOKUP(TRIM(C1060),_xlfn.ANCHORARRAY($L$5),$M$5:$M$18)</f>
        <v>Metro</v>
      </c>
      <c r="I1060" t="str">
        <v>Coca Cola</v>
      </c>
      <c r="J1060">
        <f t="shared" si="21"/>
        <v>4</v>
      </c>
    </row>
    <row r="1061" spans="1:10" x14ac:dyDescent="0.25">
      <c r="A1061" t="s">
        <v>1388</v>
      </c>
      <c r="B1061" t="s">
        <v>1387</v>
      </c>
      <c r="C1061" t="s">
        <v>9</v>
      </c>
      <c r="D1061" t="s">
        <v>14</v>
      </c>
      <c r="E1061">
        <v>6</v>
      </c>
      <c r="F1061" t="s">
        <v>11</v>
      </c>
      <c r="G1061">
        <v>13.53</v>
      </c>
      <c r="H1061" t="str" cm="1">
        <f t="array" ref="H1061">_xlfn.XLOOKUP(TRIM(C1061),_xlfn.ANCHORARRAY($L$5),$M$5:$M$18)</f>
        <v>Metro</v>
      </c>
      <c r="I1061" t="str">
        <v>7up</v>
      </c>
      <c r="J1061">
        <f t="shared" si="21"/>
        <v>6</v>
      </c>
    </row>
    <row r="1062" spans="1:10" x14ac:dyDescent="0.25">
      <c r="A1062" t="s">
        <v>1389</v>
      </c>
      <c r="B1062" t="s">
        <v>1387</v>
      </c>
      <c r="C1062" t="s">
        <v>61</v>
      </c>
      <c r="D1062" t="s">
        <v>16</v>
      </c>
      <c r="E1062">
        <v>3</v>
      </c>
      <c r="F1062" t="s">
        <v>17</v>
      </c>
      <c r="G1062">
        <v>1.26</v>
      </c>
      <c r="H1062" t="str" cm="1">
        <f t="array" ref="H1062">_xlfn.XLOOKUP(TRIM(C1062),_xlfn.ANCHORARRAY($L$5),$M$5:$M$18)</f>
        <v>Metro</v>
      </c>
      <c r="I1062" t="str">
        <v>Sel</v>
      </c>
      <c r="J1062">
        <f t="shared" si="21"/>
        <v>3</v>
      </c>
    </row>
    <row r="1063" spans="1:10" x14ac:dyDescent="0.25">
      <c r="A1063" t="s">
        <v>1390</v>
      </c>
      <c r="B1063" t="s">
        <v>1387</v>
      </c>
      <c r="C1063" t="s">
        <v>46</v>
      </c>
      <c r="D1063" t="s">
        <v>20</v>
      </c>
      <c r="E1063">
        <v>8</v>
      </c>
      <c r="F1063" t="s">
        <v>21</v>
      </c>
      <c r="G1063">
        <v>4.26</v>
      </c>
      <c r="H1063" t="str" cm="1">
        <f t="array" ref="H1063">_xlfn.XLOOKUP(TRIM(C1063),_xlfn.ANCHORARRAY($L$5),$M$5:$M$18)</f>
        <v>LEGUMEX</v>
      </c>
      <c r="I1063" t="str">
        <v>Tomates pelées</v>
      </c>
      <c r="J1063">
        <f t="shared" si="21"/>
        <v>8</v>
      </c>
    </row>
    <row r="1064" spans="1:10" x14ac:dyDescent="0.25">
      <c r="A1064" t="s">
        <v>1391</v>
      </c>
      <c r="B1064" t="s">
        <v>1387</v>
      </c>
      <c r="C1064" t="s">
        <v>46</v>
      </c>
      <c r="D1064" t="s">
        <v>24</v>
      </c>
      <c r="E1064">
        <v>6</v>
      </c>
      <c r="F1064" t="s">
        <v>25</v>
      </c>
      <c r="G1064">
        <v>22.04</v>
      </c>
      <c r="H1064" t="str" cm="1">
        <f t="array" ref="H1064">_xlfn.XLOOKUP(TRIM(C1064),_xlfn.ANCHORARRAY($L$5),$M$5:$M$18)</f>
        <v>LEGUMEX</v>
      </c>
      <c r="I1064" t="str">
        <v>Huile olive</v>
      </c>
      <c r="J1064">
        <f t="shared" si="21"/>
        <v>6</v>
      </c>
    </row>
    <row r="1065" spans="1:10" x14ac:dyDescent="0.25">
      <c r="A1065" t="s">
        <v>1392</v>
      </c>
      <c r="B1065" t="s">
        <v>1387</v>
      </c>
      <c r="C1065" t="s">
        <v>23</v>
      </c>
      <c r="D1065" t="s">
        <v>28</v>
      </c>
      <c r="E1065">
        <v>4</v>
      </c>
      <c r="F1065" t="s">
        <v>29</v>
      </c>
      <c r="G1065">
        <v>9.92</v>
      </c>
      <c r="H1065" t="str" cm="1">
        <f t="array" ref="H1065">_xlfn.XLOOKUP(TRIM(C1065),_xlfn.ANCHORARRAY($L$5),$M$5:$M$18)</f>
        <v>LEGUMEX</v>
      </c>
      <c r="I1065" t="str">
        <v>Sauce tomate</v>
      </c>
      <c r="J1065">
        <f t="shared" si="21"/>
        <v>4</v>
      </c>
    </row>
    <row r="1066" spans="1:10" x14ac:dyDescent="0.25">
      <c r="A1066" t="s">
        <v>1393</v>
      </c>
      <c r="B1066" t="s">
        <v>1394</v>
      </c>
      <c r="C1066" t="s">
        <v>66</v>
      </c>
      <c r="D1066" t="s">
        <v>33</v>
      </c>
      <c r="E1066">
        <v>6</v>
      </c>
      <c r="F1066" t="s">
        <v>17</v>
      </c>
      <c r="G1066">
        <v>10.32</v>
      </c>
      <c r="H1066" t="str" cm="1">
        <f t="array" ref="H1066">_xlfn.XLOOKUP(TRIM(C1066),_xlfn.ANCHORARRAY($L$5),$M$5:$M$18)</f>
        <v>B. Halal Pro</v>
      </c>
      <c r="I1066" t="str">
        <v>Viande hachée</v>
      </c>
      <c r="J1066">
        <f t="shared" si="21"/>
        <v>6</v>
      </c>
    </row>
    <row r="1067" spans="1:10" x14ac:dyDescent="0.25">
      <c r="A1067" t="s">
        <v>1395</v>
      </c>
      <c r="B1067" t="s">
        <v>1394</v>
      </c>
      <c r="C1067" t="s">
        <v>64</v>
      </c>
      <c r="D1067" t="s">
        <v>35</v>
      </c>
      <c r="E1067">
        <v>10</v>
      </c>
      <c r="F1067" t="s">
        <v>17</v>
      </c>
      <c r="G1067">
        <v>7.43</v>
      </c>
      <c r="H1067" t="str" cm="1">
        <f t="array" ref="H1067">_xlfn.XLOOKUP(TRIM(C1067),_xlfn.ANCHORARRAY($L$5),$M$5:$M$18)</f>
        <v>B. Halal Pro</v>
      </c>
      <c r="I1067" t="str">
        <v>Poulet émincé</v>
      </c>
      <c r="J1067">
        <f t="shared" si="21"/>
        <v>10</v>
      </c>
    </row>
    <row r="1068" spans="1:10" x14ac:dyDescent="0.25">
      <c r="A1068" t="s">
        <v>1396</v>
      </c>
      <c r="B1068" t="s">
        <v>1394</v>
      </c>
      <c r="C1068" t="s">
        <v>41</v>
      </c>
      <c r="D1068" t="s">
        <v>38</v>
      </c>
      <c r="E1068">
        <v>8</v>
      </c>
      <c r="F1068" t="s">
        <v>39</v>
      </c>
      <c r="G1068">
        <v>5.69</v>
      </c>
      <c r="H1068" t="str" cm="1">
        <f t="array" ref="H1068">_xlfn.XLOOKUP(TRIM(C1068),_xlfn.ANCHORARRAY($L$5),$M$5:$M$18)</f>
        <v>Boul. Express</v>
      </c>
      <c r="I1068" t="str">
        <v>Pain burger</v>
      </c>
      <c r="J1068">
        <f t="shared" si="21"/>
        <v>8</v>
      </c>
    </row>
    <row r="1069" spans="1:10" x14ac:dyDescent="0.25">
      <c r="A1069" t="s">
        <v>1397</v>
      </c>
      <c r="B1069" t="s">
        <v>1394</v>
      </c>
      <c r="C1069" t="s">
        <v>41</v>
      </c>
      <c r="D1069" t="s">
        <v>42</v>
      </c>
      <c r="E1069">
        <v>10</v>
      </c>
      <c r="F1069" t="s">
        <v>43</v>
      </c>
      <c r="G1069">
        <v>3.9</v>
      </c>
      <c r="H1069" t="str" cm="1">
        <f t="array" ref="H1069">_xlfn.XLOOKUP(TRIM(C1069),_xlfn.ANCHORARRAY($L$5),$M$5:$M$18)</f>
        <v>Boul. Express</v>
      </c>
      <c r="I1069" t="str">
        <v>Pain pita</v>
      </c>
      <c r="J1069">
        <f t="shared" si="21"/>
        <v>10</v>
      </c>
    </row>
    <row r="1070" spans="1:10" x14ac:dyDescent="0.25">
      <c r="A1070" t="s">
        <v>1398</v>
      </c>
      <c r="B1070" t="s">
        <v>1399</v>
      </c>
      <c r="C1070" t="s">
        <v>46</v>
      </c>
      <c r="D1070" t="s">
        <v>20</v>
      </c>
      <c r="E1070">
        <v>10</v>
      </c>
      <c r="F1070" t="s">
        <v>21</v>
      </c>
      <c r="G1070">
        <v>4.12</v>
      </c>
      <c r="H1070" t="str" cm="1">
        <f t="array" ref="H1070">_xlfn.XLOOKUP(TRIM(C1070),_xlfn.ANCHORARRAY($L$5),$M$5:$M$18)</f>
        <v>LEGUMEX</v>
      </c>
      <c r="I1070" t="str">
        <v>Tomates pelées</v>
      </c>
      <c r="J1070">
        <f t="shared" si="21"/>
        <v>10</v>
      </c>
    </row>
    <row r="1071" spans="1:10" x14ac:dyDescent="0.25">
      <c r="A1071" t="s">
        <v>1400</v>
      </c>
      <c r="B1071" t="s">
        <v>1399</v>
      </c>
      <c r="C1071" t="s">
        <v>46</v>
      </c>
      <c r="D1071" t="s">
        <v>24</v>
      </c>
      <c r="E1071">
        <v>10</v>
      </c>
      <c r="F1071" t="s">
        <v>25</v>
      </c>
      <c r="G1071">
        <v>21.95</v>
      </c>
      <c r="H1071" t="str" cm="1">
        <f t="array" ref="H1071">_xlfn.XLOOKUP(TRIM(C1071),_xlfn.ANCHORARRAY($L$5),$M$5:$M$18)</f>
        <v>LEGUMEX</v>
      </c>
      <c r="I1071" t="str">
        <v>Huile olive</v>
      </c>
      <c r="J1071">
        <f t="shared" si="21"/>
        <v>10</v>
      </c>
    </row>
    <row r="1072" spans="1:10" x14ac:dyDescent="0.25">
      <c r="A1072" t="s">
        <v>1401</v>
      </c>
      <c r="B1072" t="s">
        <v>1399</v>
      </c>
      <c r="C1072" t="s">
        <v>23</v>
      </c>
      <c r="D1072" t="s">
        <v>28</v>
      </c>
      <c r="E1072">
        <v>8</v>
      </c>
      <c r="F1072" t="s">
        <v>29</v>
      </c>
      <c r="G1072">
        <v>10.199999999999999</v>
      </c>
      <c r="H1072" t="str" cm="1">
        <f t="array" ref="H1072">_xlfn.XLOOKUP(TRIM(C1072),_xlfn.ANCHORARRAY($L$5),$M$5:$M$18)</f>
        <v>LEGUMEX</v>
      </c>
      <c r="I1072" t="str">
        <v>Sauce tomate</v>
      </c>
      <c r="J1072">
        <f t="shared" si="21"/>
        <v>8</v>
      </c>
    </row>
    <row r="1073" spans="1:10" x14ac:dyDescent="0.25">
      <c r="A1073" t="s">
        <v>1402</v>
      </c>
      <c r="B1073" t="s">
        <v>1399</v>
      </c>
      <c r="C1073" t="s">
        <v>50</v>
      </c>
      <c r="D1073" t="s">
        <v>51</v>
      </c>
      <c r="E1073">
        <v>2</v>
      </c>
      <c r="F1073" t="s">
        <v>52</v>
      </c>
      <c r="G1073">
        <v>18.23</v>
      </c>
      <c r="H1073" t="str" cm="1">
        <f t="array" ref="H1073">_xlfn.XLOOKUP(TRIM(C1073),_xlfn.ANCHORARRAY($L$5),$M$5:$M$18)</f>
        <v>Moulin du Nord</v>
      </c>
      <c r="I1073" t="str">
        <v>Farine</v>
      </c>
      <c r="J1073">
        <f t="shared" si="21"/>
        <v>2</v>
      </c>
    </row>
    <row r="1074" spans="1:10" x14ac:dyDescent="0.25">
      <c r="A1074" t="s">
        <v>1403</v>
      </c>
      <c r="B1074" t="s">
        <v>1399</v>
      </c>
      <c r="C1074" t="s">
        <v>92</v>
      </c>
      <c r="D1074" t="s">
        <v>55</v>
      </c>
      <c r="E1074">
        <v>8</v>
      </c>
      <c r="F1074" t="s">
        <v>17</v>
      </c>
      <c r="G1074">
        <v>9.5299999999999994</v>
      </c>
      <c r="H1074" t="str" cm="1">
        <f t="array" ref="H1074">_xlfn.XLOOKUP(TRIM(C1074),_xlfn.ANCHORARRAY($L$5),$M$5:$M$18)</f>
        <v>Fromag. Centrale</v>
      </c>
      <c r="I1074" t="str">
        <v>Mozzarella</v>
      </c>
      <c r="J1074">
        <f t="shared" si="21"/>
        <v>8</v>
      </c>
    </row>
    <row r="1075" spans="1:10" x14ac:dyDescent="0.25">
      <c r="A1075" t="s">
        <v>1404</v>
      </c>
      <c r="B1075" t="s">
        <v>1405</v>
      </c>
      <c r="C1075" t="s">
        <v>61</v>
      </c>
      <c r="D1075" t="s">
        <v>10</v>
      </c>
      <c r="E1075">
        <v>6</v>
      </c>
      <c r="F1075" t="s">
        <v>11</v>
      </c>
      <c r="G1075">
        <v>15.08</v>
      </c>
      <c r="H1075" t="str" cm="1">
        <f t="array" ref="H1075">_xlfn.XLOOKUP(TRIM(C1075),_xlfn.ANCHORARRAY($L$5),$M$5:$M$18)</f>
        <v>Metro</v>
      </c>
      <c r="I1075" t="str">
        <v>Coca Cola</v>
      </c>
      <c r="J1075">
        <f t="shared" si="21"/>
        <v>6</v>
      </c>
    </row>
    <row r="1076" spans="1:10" x14ac:dyDescent="0.25">
      <c r="A1076" t="s">
        <v>1406</v>
      </c>
      <c r="B1076" t="s">
        <v>1405</v>
      </c>
      <c r="C1076" t="s">
        <v>13</v>
      </c>
      <c r="D1076" t="s">
        <v>14</v>
      </c>
      <c r="E1076">
        <v>6</v>
      </c>
      <c r="F1076" t="s">
        <v>11</v>
      </c>
      <c r="G1076">
        <v>13.76</v>
      </c>
      <c r="H1076" t="str" cm="1">
        <f t="array" ref="H1076">_xlfn.XLOOKUP(TRIM(C1076),_xlfn.ANCHORARRAY($L$5),$M$5:$M$18)</f>
        <v>Metro</v>
      </c>
      <c r="I1076" t="str">
        <v>7up</v>
      </c>
      <c r="J1076">
        <f t="shared" si="21"/>
        <v>6</v>
      </c>
    </row>
    <row r="1077" spans="1:10" x14ac:dyDescent="0.25">
      <c r="A1077" t="s">
        <v>1407</v>
      </c>
      <c r="B1077" t="s">
        <v>1405</v>
      </c>
      <c r="C1077" t="s">
        <v>59</v>
      </c>
      <c r="D1077" t="s">
        <v>16</v>
      </c>
      <c r="E1077">
        <v>4</v>
      </c>
      <c r="F1077" t="s">
        <v>17</v>
      </c>
      <c r="G1077">
        <v>1.27</v>
      </c>
      <c r="H1077" t="str" cm="1">
        <f t="array" ref="H1077">_xlfn.XLOOKUP(TRIM(C1077),_xlfn.ANCHORARRAY($L$5),$M$5:$M$18)</f>
        <v>Metro</v>
      </c>
      <c r="I1077" t="str">
        <v>Sel</v>
      </c>
      <c r="J1077">
        <f t="shared" si="21"/>
        <v>4</v>
      </c>
    </row>
    <row r="1078" spans="1:10" x14ac:dyDescent="0.25">
      <c r="A1078" t="s">
        <v>1408</v>
      </c>
      <c r="B1078" t="s">
        <v>1409</v>
      </c>
      <c r="C1078" t="s">
        <v>32</v>
      </c>
      <c r="D1078" t="s">
        <v>33</v>
      </c>
      <c r="E1078">
        <v>8</v>
      </c>
      <c r="F1078" t="s">
        <v>17</v>
      </c>
      <c r="G1078">
        <v>10.15</v>
      </c>
      <c r="H1078" t="str" cm="1">
        <f t="array" ref="H1078">_xlfn.XLOOKUP(TRIM(C1078),_xlfn.ANCHORARRAY($L$5),$M$5:$M$18)</f>
        <v>B. Halal Pro</v>
      </c>
      <c r="I1078" t="str">
        <v>Viande hachée</v>
      </c>
      <c r="J1078">
        <f t="shared" si="21"/>
        <v>8</v>
      </c>
    </row>
    <row r="1079" spans="1:10" x14ac:dyDescent="0.25">
      <c r="A1079" t="s">
        <v>1410</v>
      </c>
      <c r="B1079" t="s">
        <v>1409</v>
      </c>
      <c r="C1079" t="s">
        <v>64</v>
      </c>
      <c r="D1079" t="s">
        <v>35</v>
      </c>
      <c r="E1079">
        <v>6</v>
      </c>
      <c r="F1079" t="s">
        <v>17</v>
      </c>
      <c r="G1079">
        <v>7.08</v>
      </c>
      <c r="H1079" t="str" cm="1">
        <f t="array" ref="H1079">_xlfn.XLOOKUP(TRIM(C1079),_xlfn.ANCHORARRAY($L$5),$M$5:$M$18)</f>
        <v>B. Halal Pro</v>
      </c>
      <c r="I1079" t="str">
        <v>Poulet émincé</v>
      </c>
      <c r="J1079">
        <f t="shared" si="21"/>
        <v>6</v>
      </c>
    </row>
    <row r="1080" spans="1:10" x14ac:dyDescent="0.25">
      <c r="A1080" t="s">
        <v>1411</v>
      </c>
      <c r="B1080" t="s">
        <v>1409</v>
      </c>
      <c r="C1080" t="s">
        <v>37</v>
      </c>
      <c r="D1080" t="s">
        <v>38</v>
      </c>
      <c r="E1080">
        <v>5</v>
      </c>
      <c r="F1080" t="s">
        <v>39</v>
      </c>
      <c r="G1080">
        <v>5.85</v>
      </c>
      <c r="H1080" t="str" cm="1">
        <f t="array" ref="H1080">_xlfn.XLOOKUP(TRIM(C1080),_xlfn.ANCHORARRAY($L$5),$M$5:$M$18)</f>
        <v>Boul. Express</v>
      </c>
      <c r="I1080" t="str">
        <v>Pain burger</v>
      </c>
      <c r="J1080">
        <f t="shared" si="21"/>
        <v>5</v>
      </c>
    </row>
    <row r="1081" spans="1:10" x14ac:dyDescent="0.25">
      <c r="A1081" t="s">
        <v>1412</v>
      </c>
      <c r="B1081" t="s">
        <v>1409</v>
      </c>
      <c r="C1081" t="s">
        <v>37</v>
      </c>
      <c r="D1081" t="s">
        <v>42</v>
      </c>
      <c r="E1081">
        <v>10</v>
      </c>
      <c r="F1081" t="s">
        <v>43</v>
      </c>
      <c r="G1081">
        <v>3.88</v>
      </c>
      <c r="H1081" t="str" cm="1">
        <f t="array" ref="H1081">_xlfn.XLOOKUP(TRIM(C1081),_xlfn.ANCHORARRAY($L$5),$M$5:$M$18)</f>
        <v>Boul. Express</v>
      </c>
      <c r="I1081" t="str">
        <v>Pain pita</v>
      </c>
      <c r="J1081">
        <f t="shared" si="21"/>
        <v>10</v>
      </c>
    </row>
    <row r="1082" spans="1:10" x14ac:dyDescent="0.25">
      <c r="A1082" t="s">
        <v>1413</v>
      </c>
      <c r="B1082" t="s">
        <v>1414</v>
      </c>
      <c r="C1082" t="s">
        <v>54</v>
      </c>
      <c r="D1082" t="s">
        <v>55</v>
      </c>
      <c r="E1082">
        <v>10</v>
      </c>
      <c r="F1082" t="s">
        <v>17</v>
      </c>
      <c r="G1082">
        <v>8.86</v>
      </c>
      <c r="H1082" t="str" cm="1">
        <f t="array" ref="H1082">_xlfn.XLOOKUP(TRIM(C1082),_xlfn.ANCHORARRAY($L$5),$M$5:$M$18)</f>
        <v>Fromag. Centrale</v>
      </c>
      <c r="I1082" t="str">
        <v>Mozzarella</v>
      </c>
      <c r="J1082">
        <f t="shared" si="21"/>
        <v>10</v>
      </c>
    </row>
    <row r="1083" spans="1:10" x14ac:dyDescent="0.25">
      <c r="A1083" t="s">
        <v>1415</v>
      </c>
      <c r="B1083" t="s">
        <v>1416</v>
      </c>
      <c r="C1083" t="s">
        <v>61</v>
      </c>
      <c r="D1083" t="s">
        <v>10</v>
      </c>
      <c r="E1083">
        <v>4</v>
      </c>
      <c r="F1083" t="s">
        <v>11</v>
      </c>
      <c r="G1083">
        <v>14.72</v>
      </c>
      <c r="H1083" t="str" cm="1">
        <f t="array" ref="H1083">_xlfn.XLOOKUP(TRIM(C1083),_xlfn.ANCHORARRAY($L$5),$M$5:$M$18)</f>
        <v>Metro</v>
      </c>
      <c r="I1083" t="str">
        <v>Coca Cola</v>
      </c>
      <c r="J1083">
        <f t="shared" si="21"/>
        <v>4</v>
      </c>
    </row>
    <row r="1084" spans="1:10" x14ac:dyDescent="0.25">
      <c r="A1084" t="s">
        <v>1417</v>
      </c>
      <c r="B1084" t="s">
        <v>1416</v>
      </c>
      <c r="C1084" t="s">
        <v>61</v>
      </c>
      <c r="D1084" t="s">
        <v>14</v>
      </c>
      <c r="E1084">
        <v>4</v>
      </c>
      <c r="F1084" t="s">
        <v>11</v>
      </c>
      <c r="G1084">
        <v>13.97</v>
      </c>
      <c r="H1084" t="str" cm="1">
        <f t="array" ref="H1084">_xlfn.XLOOKUP(TRIM(C1084),_xlfn.ANCHORARRAY($L$5),$M$5:$M$18)</f>
        <v>Metro</v>
      </c>
      <c r="I1084" t="str">
        <v>7up</v>
      </c>
      <c r="J1084">
        <f t="shared" si="21"/>
        <v>4</v>
      </c>
    </row>
    <row r="1085" spans="1:10" x14ac:dyDescent="0.25">
      <c r="A1085" t="s">
        <v>1418</v>
      </c>
      <c r="B1085" t="s">
        <v>1416</v>
      </c>
      <c r="C1085" t="s">
        <v>97</v>
      </c>
      <c r="D1085" t="s">
        <v>16</v>
      </c>
      <c r="E1085">
        <v>6</v>
      </c>
      <c r="F1085" t="s">
        <v>17</v>
      </c>
      <c r="G1085">
        <v>1.25</v>
      </c>
      <c r="H1085" t="str" cm="1">
        <f t="array" ref="H1085">_xlfn.XLOOKUP(TRIM(C1085),_xlfn.ANCHORARRAY($L$5),$M$5:$M$18)</f>
        <v>Metro</v>
      </c>
      <c r="I1085" t="str">
        <v>Sel</v>
      </c>
      <c r="J1085">
        <f t="shared" si="21"/>
        <v>6</v>
      </c>
    </row>
    <row r="1086" spans="1:10" x14ac:dyDescent="0.25">
      <c r="A1086" t="s">
        <v>1419</v>
      </c>
      <c r="B1086" t="s">
        <v>1416</v>
      </c>
      <c r="C1086" t="s">
        <v>27</v>
      </c>
      <c r="D1086" t="s">
        <v>20</v>
      </c>
      <c r="E1086">
        <v>8</v>
      </c>
      <c r="F1086" t="s">
        <v>21</v>
      </c>
      <c r="G1086">
        <v>4.2</v>
      </c>
      <c r="H1086" t="str" cm="1">
        <f t="array" ref="H1086">_xlfn.XLOOKUP(TRIM(C1086),_xlfn.ANCHORARRAY($L$5),$M$5:$M$18)</f>
        <v>LEGUMEX</v>
      </c>
      <c r="I1086" t="str">
        <v>Tomates pelées</v>
      </c>
      <c r="J1086">
        <f t="shared" si="21"/>
        <v>8</v>
      </c>
    </row>
    <row r="1087" spans="1:10" x14ac:dyDescent="0.25">
      <c r="A1087" t="s">
        <v>1420</v>
      </c>
      <c r="B1087" t="s">
        <v>1416</v>
      </c>
      <c r="C1087" t="s">
        <v>19</v>
      </c>
      <c r="D1087" t="s">
        <v>24</v>
      </c>
      <c r="E1087">
        <v>8</v>
      </c>
      <c r="F1087" t="s">
        <v>25</v>
      </c>
      <c r="G1087">
        <v>23.38</v>
      </c>
      <c r="H1087" t="str" cm="1">
        <f t="array" ref="H1087">_xlfn.XLOOKUP(TRIM(C1087),_xlfn.ANCHORARRAY($L$5),$M$5:$M$18)</f>
        <v>LEGUMEX</v>
      </c>
      <c r="I1087" t="str">
        <v>Huile olive</v>
      </c>
      <c r="J1087">
        <f t="shared" si="21"/>
        <v>8</v>
      </c>
    </row>
    <row r="1088" spans="1:10" x14ac:dyDescent="0.25">
      <c r="A1088" t="s">
        <v>1421</v>
      </c>
      <c r="B1088" t="s">
        <v>1416</v>
      </c>
      <c r="C1088" t="s">
        <v>23</v>
      </c>
      <c r="D1088" t="s">
        <v>28</v>
      </c>
      <c r="E1088">
        <v>4</v>
      </c>
      <c r="F1088" t="s">
        <v>29</v>
      </c>
      <c r="G1088">
        <v>10.39</v>
      </c>
      <c r="H1088" t="str" cm="1">
        <f t="array" ref="H1088">_xlfn.XLOOKUP(TRIM(C1088),_xlfn.ANCHORARRAY($L$5),$M$5:$M$18)</f>
        <v>LEGUMEX</v>
      </c>
      <c r="I1088" t="str">
        <v>Sauce tomate</v>
      </c>
      <c r="J1088">
        <f t="shared" si="21"/>
        <v>4</v>
      </c>
    </row>
    <row r="1089" spans="1:10" x14ac:dyDescent="0.25">
      <c r="A1089" t="s">
        <v>1422</v>
      </c>
      <c r="B1089" t="s">
        <v>1423</v>
      </c>
      <c r="C1089" t="s">
        <v>32</v>
      </c>
      <c r="D1089" t="s">
        <v>33</v>
      </c>
      <c r="E1089">
        <v>8</v>
      </c>
      <c r="F1089" t="s">
        <v>17</v>
      </c>
      <c r="G1089">
        <v>8.8800000000000008</v>
      </c>
      <c r="H1089" t="str" cm="1">
        <f t="array" ref="H1089">_xlfn.XLOOKUP(TRIM(C1089),_xlfn.ANCHORARRAY($L$5),$M$5:$M$18)</f>
        <v>B. Halal Pro</v>
      </c>
      <c r="I1089" t="str">
        <v>Viande hachée</v>
      </c>
      <c r="J1089">
        <f t="shared" si="21"/>
        <v>8</v>
      </c>
    </row>
    <row r="1090" spans="1:10" x14ac:dyDescent="0.25">
      <c r="A1090" t="s">
        <v>1424</v>
      </c>
      <c r="B1090" t="s">
        <v>1423</v>
      </c>
      <c r="C1090" t="s">
        <v>32</v>
      </c>
      <c r="D1090" t="s">
        <v>35</v>
      </c>
      <c r="E1090">
        <v>10</v>
      </c>
      <c r="F1090" t="s">
        <v>17</v>
      </c>
      <c r="G1090">
        <v>7.32</v>
      </c>
      <c r="H1090" t="str" cm="1">
        <f t="array" ref="H1090">_xlfn.XLOOKUP(TRIM(C1090),_xlfn.ANCHORARRAY($L$5),$M$5:$M$18)</f>
        <v>B. Halal Pro</v>
      </c>
      <c r="I1090" t="str">
        <v>Poulet émincé</v>
      </c>
      <c r="J1090">
        <f t="shared" ref="J1090:J1153" si="22">IF(E1090&lt;&gt;0,E1090,_xlfn.XLOOKUP(I1090,$Q$5:$Q$16,$Y$5:$Y$16))</f>
        <v>10</v>
      </c>
    </row>
    <row r="1091" spans="1:10" x14ac:dyDescent="0.25">
      <c r="A1091" t="s">
        <v>1425</v>
      </c>
      <c r="B1091" t="s">
        <v>1423</v>
      </c>
      <c r="C1091" t="s">
        <v>69</v>
      </c>
      <c r="D1091" t="s">
        <v>38</v>
      </c>
      <c r="E1091">
        <v>10</v>
      </c>
      <c r="F1091" t="s">
        <v>39</v>
      </c>
      <c r="G1091">
        <v>5.96</v>
      </c>
      <c r="H1091" t="str" cm="1">
        <f t="array" ref="H1091">_xlfn.XLOOKUP(TRIM(C1091),_xlfn.ANCHORARRAY($L$5),$M$5:$M$18)</f>
        <v>Boul. Express</v>
      </c>
      <c r="I1091" t="str">
        <v>Pain burger</v>
      </c>
      <c r="J1091">
        <f t="shared" si="22"/>
        <v>10</v>
      </c>
    </row>
    <row r="1092" spans="1:10" x14ac:dyDescent="0.25">
      <c r="A1092" t="s">
        <v>1426</v>
      </c>
      <c r="B1092" t="s">
        <v>1423</v>
      </c>
      <c r="C1092" t="s">
        <v>69</v>
      </c>
      <c r="D1092" t="s">
        <v>42</v>
      </c>
      <c r="E1092">
        <v>8</v>
      </c>
      <c r="F1092" t="s">
        <v>43</v>
      </c>
      <c r="G1092">
        <v>3.92</v>
      </c>
      <c r="H1092" t="str" cm="1">
        <f t="array" ref="H1092">_xlfn.XLOOKUP(TRIM(C1092),_xlfn.ANCHORARRAY($L$5),$M$5:$M$18)</f>
        <v>Boul. Express</v>
      </c>
      <c r="I1092" t="str">
        <v>Pain pita</v>
      </c>
      <c r="J1092">
        <f t="shared" si="22"/>
        <v>8</v>
      </c>
    </row>
    <row r="1093" spans="1:10" x14ac:dyDescent="0.25">
      <c r="A1093" t="s">
        <v>1427</v>
      </c>
      <c r="B1093" t="s">
        <v>1428</v>
      </c>
      <c r="C1093" t="s">
        <v>19</v>
      </c>
      <c r="D1093" t="s">
        <v>20</v>
      </c>
      <c r="E1093">
        <v>8</v>
      </c>
      <c r="F1093" t="s">
        <v>21</v>
      </c>
      <c r="G1093">
        <v>4.3899999999999997</v>
      </c>
      <c r="H1093" t="str" cm="1">
        <f t="array" ref="H1093">_xlfn.XLOOKUP(TRIM(C1093),_xlfn.ANCHORARRAY($L$5),$M$5:$M$18)</f>
        <v>LEGUMEX</v>
      </c>
      <c r="I1093" t="str">
        <v>Tomates pelées</v>
      </c>
      <c r="J1093">
        <f t="shared" si="22"/>
        <v>8</v>
      </c>
    </row>
    <row r="1094" spans="1:10" x14ac:dyDescent="0.25">
      <c r="A1094" t="s">
        <v>1429</v>
      </c>
      <c r="B1094" t="s">
        <v>1428</v>
      </c>
      <c r="C1094" t="s">
        <v>27</v>
      </c>
      <c r="D1094" t="s">
        <v>24</v>
      </c>
      <c r="E1094">
        <v>10</v>
      </c>
      <c r="F1094" t="s">
        <v>25</v>
      </c>
      <c r="G1094">
        <v>21.5</v>
      </c>
      <c r="H1094" t="str" cm="1">
        <f t="array" ref="H1094">_xlfn.XLOOKUP(TRIM(C1094),_xlfn.ANCHORARRAY($L$5),$M$5:$M$18)</f>
        <v>LEGUMEX</v>
      </c>
      <c r="I1094" t="str">
        <v>Huile olive</v>
      </c>
      <c r="J1094">
        <f t="shared" si="22"/>
        <v>10</v>
      </c>
    </row>
    <row r="1095" spans="1:10" x14ac:dyDescent="0.25">
      <c r="A1095" t="s">
        <v>1430</v>
      </c>
      <c r="B1095" t="s">
        <v>1428</v>
      </c>
      <c r="C1095" t="s">
        <v>27</v>
      </c>
      <c r="D1095" t="s">
        <v>28</v>
      </c>
      <c r="E1095">
        <v>10</v>
      </c>
      <c r="F1095" t="s">
        <v>29</v>
      </c>
      <c r="G1095">
        <v>10.5</v>
      </c>
      <c r="H1095" t="str" cm="1">
        <f t="array" ref="H1095">_xlfn.XLOOKUP(TRIM(C1095),_xlfn.ANCHORARRAY($L$5),$M$5:$M$18)</f>
        <v>LEGUMEX</v>
      </c>
      <c r="I1095" t="str">
        <v>Sauce tomate</v>
      </c>
      <c r="J1095">
        <f t="shared" si="22"/>
        <v>10</v>
      </c>
    </row>
    <row r="1096" spans="1:10" x14ac:dyDescent="0.25">
      <c r="A1096" t="s">
        <v>1431</v>
      </c>
      <c r="B1096" t="s">
        <v>1428</v>
      </c>
      <c r="C1096" t="s">
        <v>90</v>
      </c>
      <c r="D1096" t="s">
        <v>51</v>
      </c>
      <c r="E1096">
        <v>4</v>
      </c>
      <c r="F1096" t="s">
        <v>52</v>
      </c>
      <c r="G1096">
        <v>19.04</v>
      </c>
      <c r="H1096" t="str" cm="1">
        <f t="array" ref="H1096">_xlfn.XLOOKUP(TRIM(C1096),_xlfn.ANCHORARRAY($L$5),$M$5:$M$18)</f>
        <v>Moulin du Nord</v>
      </c>
      <c r="I1096" t="str">
        <v>Farine</v>
      </c>
      <c r="J1096">
        <f t="shared" si="22"/>
        <v>4</v>
      </c>
    </row>
    <row r="1097" spans="1:10" x14ac:dyDescent="0.25">
      <c r="A1097" t="s">
        <v>1432</v>
      </c>
      <c r="B1097" t="s">
        <v>1428</v>
      </c>
      <c r="C1097" t="s">
        <v>154</v>
      </c>
      <c r="D1097" t="s">
        <v>55</v>
      </c>
      <c r="E1097">
        <v>6</v>
      </c>
      <c r="F1097" t="s">
        <v>17</v>
      </c>
      <c r="G1097">
        <v>8.51</v>
      </c>
      <c r="H1097" t="str" cm="1">
        <f t="array" ref="H1097">_xlfn.XLOOKUP(TRIM(C1097),_xlfn.ANCHORARRAY($L$5),$M$5:$M$18)</f>
        <v>Fromag. Centrale</v>
      </c>
      <c r="I1097" t="str">
        <v>Mozzarella</v>
      </c>
      <c r="J1097">
        <f t="shared" si="22"/>
        <v>6</v>
      </c>
    </row>
    <row r="1098" spans="1:10" x14ac:dyDescent="0.25">
      <c r="A1098" t="s">
        <v>1433</v>
      </c>
      <c r="B1098" t="s">
        <v>1434</v>
      </c>
      <c r="C1098" t="s">
        <v>59</v>
      </c>
      <c r="D1098" t="s">
        <v>10</v>
      </c>
      <c r="E1098">
        <v>5</v>
      </c>
      <c r="F1098" t="s">
        <v>11</v>
      </c>
      <c r="G1098">
        <v>14.27</v>
      </c>
      <c r="H1098" t="str" cm="1">
        <f t="array" ref="H1098">_xlfn.XLOOKUP(TRIM(C1098),_xlfn.ANCHORARRAY($L$5),$M$5:$M$18)</f>
        <v>Metro</v>
      </c>
      <c r="I1098" t="str">
        <v>Coca Cola</v>
      </c>
      <c r="J1098">
        <f t="shared" si="22"/>
        <v>5</v>
      </c>
    </row>
    <row r="1099" spans="1:10" x14ac:dyDescent="0.25">
      <c r="A1099" t="s">
        <v>1435</v>
      </c>
      <c r="B1099" t="s">
        <v>1434</v>
      </c>
      <c r="C1099" t="s">
        <v>59</v>
      </c>
      <c r="D1099" t="s">
        <v>14</v>
      </c>
      <c r="E1099">
        <v>4</v>
      </c>
      <c r="F1099" t="s">
        <v>11</v>
      </c>
      <c r="G1099">
        <v>12.96</v>
      </c>
      <c r="H1099" t="str" cm="1">
        <f t="array" ref="H1099">_xlfn.XLOOKUP(TRIM(C1099),_xlfn.ANCHORARRAY($L$5),$M$5:$M$18)</f>
        <v>Metro</v>
      </c>
      <c r="I1099" t="str">
        <v>7up</v>
      </c>
      <c r="J1099">
        <f t="shared" si="22"/>
        <v>4</v>
      </c>
    </row>
    <row r="1100" spans="1:10" x14ac:dyDescent="0.25">
      <c r="A1100" t="s">
        <v>1436</v>
      </c>
      <c r="B1100" t="s">
        <v>1434</v>
      </c>
      <c r="C1100" t="s">
        <v>9</v>
      </c>
      <c r="D1100" t="s">
        <v>16</v>
      </c>
      <c r="E1100">
        <v>3</v>
      </c>
      <c r="F1100" t="s">
        <v>17</v>
      </c>
      <c r="G1100">
        <v>1.24</v>
      </c>
      <c r="H1100" t="str" cm="1">
        <f t="array" ref="H1100">_xlfn.XLOOKUP(TRIM(C1100),_xlfn.ANCHORARRAY($L$5),$M$5:$M$18)</f>
        <v>Metro</v>
      </c>
      <c r="I1100" t="str">
        <v>Sel</v>
      </c>
      <c r="J1100">
        <f t="shared" si="22"/>
        <v>3</v>
      </c>
    </row>
    <row r="1101" spans="1:10" x14ac:dyDescent="0.25">
      <c r="A1101" t="s">
        <v>1437</v>
      </c>
      <c r="B1101" t="s">
        <v>1438</v>
      </c>
      <c r="C1101" t="s">
        <v>32</v>
      </c>
      <c r="D1101" t="s">
        <v>33</v>
      </c>
      <c r="E1101">
        <v>10</v>
      </c>
      <c r="F1101" t="s">
        <v>17</v>
      </c>
      <c r="G1101">
        <v>10.33</v>
      </c>
      <c r="H1101" t="str" cm="1">
        <f t="array" ref="H1101">_xlfn.XLOOKUP(TRIM(C1101),_xlfn.ANCHORARRAY($L$5),$M$5:$M$18)</f>
        <v>B. Halal Pro</v>
      </c>
      <c r="I1101" t="str">
        <v>Viande hachée</v>
      </c>
      <c r="J1101">
        <f t="shared" si="22"/>
        <v>10</v>
      </c>
    </row>
    <row r="1102" spans="1:10" x14ac:dyDescent="0.25">
      <c r="A1102" t="s">
        <v>1439</v>
      </c>
      <c r="B1102" t="s">
        <v>1438</v>
      </c>
      <c r="C1102" t="s">
        <v>32</v>
      </c>
      <c r="D1102" t="s">
        <v>35</v>
      </c>
      <c r="E1102">
        <v>6</v>
      </c>
      <c r="F1102" t="s">
        <v>17</v>
      </c>
      <c r="G1102">
        <v>7.26</v>
      </c>
      <c r="H1102" t="str" cm="1">
        <f t="array" ref="H1102">_xlfn.XLOOKUP(TRIM(C1102),_xlfn.ANCHORARRAY($L$5),$M$5:$M$18)</f>
        <v>B. Halal Pro</v>
      </c>
      <c r="I1102" t="str">
        <v>Poulet émincé</v>
      </c>
      <c r="J1102">
        <f t="shared" si="22"/>
        <v>6</v>
      </c>
    </row>
    <row r="1103" spans="1:10" x14ac:dyDescent="0.25">
      <c r="A1103" t="s">
        <v>1440</v>
      </c>
      <c r="B1103" t="s">
        <v>1438</v>
      </c>
      <c r="C1103" t="s">
        <v>83</v>
      </c>
      <c r="D1103" t="s">
        <v>38</v>
      </c>
      <c r="E1103">
        <v>12</v>
      </c>
      <c r="F1103" t="s">
        <v>39</v>
      </c>
      <c r="G1103">
        <v>5.89</v>
      </c>
      <c r="H1103" t="str" cm="1">
        <f t="array" ref="H1103">_xlfn.XLOOKUP(TRIM(C1103),_xlfn.ANCHORARRAY($L$5),$M$5:$M$18)</f>
        <v>Boul. Express</v>
      </c>
      <c r="I1103" t="str">
        <v>Pain burger</v>
      </c>
      <c r="J1103">
        <f t="shared" si="22"/>
        <v>12</v>
      </c>
    </row>
    <row r="1104" spans="1:10" x14ac:dyDescent="0.25">
      <c r="A1104" t="s">
        <v>1441</v>
      </c>
      <c r="B1104" t="s">
        <v>1438</v>
      </c>
      <c r="C1104" t="s">
        <v>69</v>
      </c>
      <c r="D1104" t="s">
        <v>42</v>
      </c>
      <c r="E1104">
        <v>10</v>
      </c>
      <c r="F1104" t="s">
        <v>43</v>
      </c>
      <c r="G1104">
        <v>3.94</v>
      </c>
      <c r="H1104" t="str" cm="1">
        <f t="array" ref="H1104">_xlfn.XLOOKUP(TRIM(C1104),_xlfn.ANCHORARRAY($L$5),$M$5:$M$18)</f>
        <v>Boul. Express</v>
      </c>
      <c r="I1104" t="str">
        <v>Pain pita</v>
      </c>
      <c r="J1104">
        <f t="shared" si="22"/>
        <v>10</v>
      </c>
    </row>
    <row r="1105" spans="1:10" x14ac:dyDescent="0.25">
      <c r="A1105" t="s">
        <v>1442</v>
      </c>
      <c r="B1105" t="s">
        <v>1443</v>
      </c>
      <c r="C1105" t="s">
        <v>195</v>
      </c>
      <c r="D1105" t="s">
        <v>55</v>
      </c>
      <c r="E1105">
        <v>4</v>
      </c>
      <c r="F1105" t="s">
        <v>17</v>
      </c>
      <c r="G1105">
        <v>9.1300000000000008</v>
      </c>
      <c r="H1105" t="str" cm="1">
        <f t="array" ref="H1105">_xlfn.XLOOKUP(TRIM(C1105),_xlfn.ANCHORARRAY($L$5),$M$5:$M$18)</f>
        <v>Fromag. Centrale</v>
      </c>
      <c r="I1105" t="str">
        <v>Mozzarella</v>
      </c>
      <c r="J1105">
        <f t="shared" si="22"/>
        <v>4</v>
      </c>
    </row>
    <row r="1106" spans="1:10" x14ac:dyDescent="0.25">
      <c r="A1106" t="s">
        <v>1444</v>
      </c>
      <c r="B1106" t="s">
        <v>1445</v>
      </c>
      <c r="C1106" t="s">
        <v>97</v>
      </c>
      <c r="D1106" t="s">
        <v>10</v>
      </c>
      <c r="E1106">
        <v>6</v>
      </c>
      <c r="F1106" t="s">
        <v>11</v>
      </c>
      <c r="G1106">
        <v>14.3</v>
      </c>
      <c r="H1106" t="str" cm="1">
        <f t="array" ref="H1106">_xlfn.XLOOKUP(TRIM(C1106),_xlfn.ANCHORARRAY($L$5),$M$5:$M$18)</f>
        <v>Metro</v>
      </c>
      <c r="I1106" t="str">
        <v>Coca Cola</v>
      </c>
      <c r="J1106">
        <f t="shared" si="22"/>
        <v>6</v>
      </c>
    </row>
    <row r="1107" spans="1:10" x14ac:dyDescent="0.25">
      <c r="A1107" t="s">
        <v>1446</v>
      </c>
      <c r="B1107" t="s">
        <v>1445</v>
      </c>
      <c r="C1107" t="s">
        <v>9</v>
      </c>
      <c r="D1107" t="s">
        <v>14</v>
      </c>
      <c r="E1107">
        <v>4</v>
      </c>
      <c r="F1107" t="s">
        <v>11</v>
      </c>
      <c r="G1107">
        <v>13.21</v>
      </c>
      <c r="H1107" t="str" cm="1">
        <f t="array" ref="H1107">_xlfn.XLOOKUP(TRIM(C1107),_xlfn.ANCHORARRAY($L$5),$M$5:$M$18)</f>
        <v>Metro</v>
      </c>
      <c r="I1107" t="str">
        <v>7up</v>
      </c>
      <c r="J1107">
        <f t="shared" si="22"/>
        <v>4</v>
      </c>
    </row>
    <row r="1108" spans="1:10" x14ac:dyDescent="0.25">
      <c r="A1108" t="s">
        <v>1447</v>
      </c>
      <c r="B1108" t="s">
        <v>1445</v>
      </c>
      <c r="C1108" t="s">
        <v>9</v>
      </c>
      <c r="D1108" t="s">
        <v>16</v>
      </c>
      <c r="E1108">
        <v>6</v>
      </c>
      <c r="F1108" t="s">
        <v>17</v>
      </c>
      <c r="G1108">
        <v>1.27</v>
      </c>
      <c r="H1108" t="str" cm="1">
        <f t="array" ref="H1108">_xlfn.XLOOKUP(TRIM(C1108),_xlfn.ANCHORARRAY($L$5),$M$5:$M$18)</f>
        <v>Metro</v>
      </c>
      <c r="I1108" t="str">
        <v>Sel</v>
      </c>
      <c r="J1108">
        <f t="shared" si="22"/>
        <v>6</v>
      </c>
    </row>
    <row r="1109" spans="1:10" x14ac:dyDescent="0.25">
      <c r="A1109" t="s">
        <v>1448</v>
      </c>
      <c r="B1109" t="s">
        <v>1445</v>
      </c>
      <c r="C1109" t="s">
        <v>27</v>
      </c>
      <c r="D1109" t="s">
        <v>20</v>
      </c>
      <c r="E1109">
        <v>8</v>
      </c>
      <c r="F1109" t="s">
        <v>21</v>
      </c>
      <c r="G1109">
        <v>4.41</v>
      </c>
      <c r="H1109" t="str" cm="1">
        <f t="array" ref="H1109">_xlfn.XLOOKUP(TRIM(C1109),_xlfn.ANCHORARRAY($L$5),$M$5:$M$18)</f>
        <v>LEGUMEX</v>
      </c>
      <c r="I1109" t="str">
        <v>Tomates pelées</v>
      </c>
      <c r="J1109">
        <f t="shared" si="22"/>
        <v>8</v>
      </c>
    </row>
    <row r="1110" spans="1:10" x14ac:dyDescent="0.25">
      <c r="A1110" t="s">
        <v>1449</v>
      </c>
      <c r="B1110" t="s">
        <v>1445</v>
      </c>
      <c r="C1110" t="s">
        <v>27</v>
      </c>
      <c r="D1110" t="s">
        <v>24</v>
      </c>
      <c r="E1110">
        <v>6</v>
      </c>
      <c r="F1110" t="s">
        <v>25</v>
      </c>
      <c r="G1110">
        <v>22.47</v>
      </c>
      <c r="H1110" t="str" cm="1">
        <f t="array" ref="H1110">_xlfn.XLOOKUP(TRIM(C1110),_xlfn.ANCHORARRAY($L$5),$M$5:$M$18)</f>
        <v>LEGUMEX</v>
      </c>
      <c r="I1110" t="str">
        <v>Huile olive</v>
      </c>
      <c r="J1110">
        <f t="shared" si="22"/>
        <v>6</v>
      </c>
    </row>
    <row r="1111" spans="1:10" x14ac:dyDescent="0.25">
      <c r="A1111" t="s">
        <v>1450</v>
      </c>
      <c r="B1111" t="s">
        <v>1445</v>
      </c>
      <c r="C1111" t="s">
        <v>23</v>
      </c>
      <c r="D1111" t="s">
        <v>28</v>
      </c>
      <c r="E1111">
        <v>6</v>
      </c>
      <c r="F1111" t="s">
        <v>29</v>
      </c>
      <c r="G1111">
        <v>9.81</v>
      </c>
      <c r="H1111" t="str" cm="1">
        <f t="array" ref="H1111">_xlfn.XLOOKUP(TRIM(C1111),_xlfn.ANCHORARRAY($L$5),$M$5:$M$18)</f>
        <v>LEGUMEX</v>
      </c>
      <c r="I1111" t="str">
        <v>Sauce tomate</v>
      </c>
      <c r="J1111">
        <f t="shared" si="22"/>
        <v>6</v>
      </c>
    </row>
    <row r="1112" spans="1:10" x14ac:dyDescent="0.25">
      <c r="A1112" t="s">
        <v>1451</v>
      </c>
      <c r="B1112" t="s">
        <v>1452</v>
      </c>
      <c r="C1112" t="s">
        <v>66</v>
      </c>
      <c r="D1112" t="s">
        <v>33</v>
      </c>
      <c r="E1112">
        <v>6</v>
      </c>
      <c r="F1112" t="s">
        <v>17</v>
      </c>
      <c r="G1112">
        <v>10.25</v>
      </c>
      <c r="H1112" t="str" cm="1">
        <f t="array" ref="H1112">_xlfn.XLOOKUP(TRIM(C1112),_xlfn.ANCHORARRAY($L$5),$M$5:$M$18)</f>
        <v>B. Halal Pro</v>
      </c>
      <c r="I1112" t="str">
        <v>Viande hachée</v>
      </c>
      <c r="J1112">
        <f t="shared" si="22"/>
        <v>6</v>
      </c>
    </row>
    <row r="1113" spans="1:10" x14ac:dyDescent="0.25">
      <c r="A1113" t="s">
        <v>1453</v>
      </c>
      <c r="B1113" t="s">
        <v>1452</v>
      </c>
      <c r="C1113" t="s">
        <v>66</v>
      </c>
      <c r="D1113" t="s">
        <v>35</v>
      </c>
      <c r="E1113">
        <v>12</v>
      </c>
      <c r="F1113" t="s">
        <v>17</v>
      </c>
      <c r="G1113">
        <v>7.34</v>
      </c>
      <c r="H1113" t="str" cm="1">
        <f t="array" ref="H1113">_xlfn.XLOOKUP(TRIM(C1113),_xlfn.ANCHORARRAY($L$5),$M$5:$M$18)</f>
        <v>B. Halal Pro</v>
      </c>
      <c r="I1113" t="str">
        <v>Poulet émincé</v>
      </c>
      <c r="J1113">
        <f t="shared" si="22"/>
        <v>12</v>
      </c>
    </row>
    <row r="1114" spans="1:10" x14ac:dyDescent="0.25">
      <c r="A1114" t="s">
        <v>1454</v>
      </c>
      <c r="B1114" t="s">
        <v>1452</v>
      </c>
      <c r="C1114" t="s">
        <v>37</v>
      </c>
      <c r="D1114" t="s">
        <v>38</v>
      </c>
      <c r="E1114">
        <v>10</v>
      </c>
      <c r="F1114" t="s">
        <v>39</v>
      </c>
      <c r="G1114">
        <v>5.78</v>
      </c>
      <c r="H1114" t="str" cm="1">
        <f t="array" ref="H1114">_xlfn.XLOOKUP(TRIM(C1114),_xlfn.ANCHORARRAY($L$5),$M$5:$M$18)</f>
        <v>Boul. Express</v>
      </c>
      <c r="I1114" t="str">
        <v>Pain burger</v>
      </c>
      <c r="J1114">
        <f t="shared" si="22"/>
        <v>10</v>
      </c>
    </row>
    <row r="1115" spans="1:10" x14ac:dyDescent="0.25">
      <c r="A1115" t="s">
        <v>1455</v>
      </c>
      <c r="B1115" t="s">
        <v>1452</v>
      </c>
      <c r="C1115" t="s">
        <v>41</v>
      </c>
      <c r="D1115" t="s">
        <v>42</v>
      </c>
      <c r="E1115">
        <v>10</v>
      </c>
      <c r="F1115" t="s">
        <v>43</v>
      </c>
      <c r="G1115">
        <v>3.86</v>
      </c>
      <c r="H1115" t="str" cm="1">
        <f t="array" ref="H1115">_xlfn.XLOOKUP(TRIM(C1115),_xlfn.ANCHORARRAY($L$5),$M$5:$M$18)</f>
        <v>Boul. Express</v>
      </c>
      <c r="I1115" t="str">
        <v>Pain pita</v>
      </c>
      <c r="J1115">
        <f t="shared" si="22"/>
        <v>10</v>
      </c>
    </row>
    <row r="1116" spans="1:10" x14ac:dyDescent="0.25">
      <c r="A1116" t="s">
        <v>1456</v>
      </c>
      <c r="B1116" t="s">
        <v>1457</v>
      </c>
      <c r="C1116" t="s">
        <v>23</v>
      </c>
      <c r="D1116" t="s">
        <v>20</v>
      </c>
      <c r="E1116">
        <v>8</v>
      </c>
      <c r="F1116" t="s">
        <v>21</v>
      </c>
      <c r="G1116">
        <v>4.33</v>
      </c>
      <c r="H1116" t="str" cm="1">
        <f t="array" ref="H1116">_xlfn.XLOOKUP(TRIM(C1116),_xlfn.ANCHORARRAY($L$5),$M$5:$M$18)</f>
        <v>LEGUMEX</v>
      </c>
      <c r="I1116" t="str">
        <v>Tomates pelées</v>
      </c>
      <c r="J1116">
        <f t="shared" si="22"/>
        <v>8</v>
      </c>
    </row>
    <row r="1117" spans="1:10" x14ac:dyDescent="0.25">
      <c r="A1117" t="s">
        <v>1458</v>
      </c>
      <c r="B1117" t="s">
        <v>1457</v>
      </c>
      <c r="C1117" t="s">
        <v>23</v>
      </c>
      <c r="D1117" t="s">
        <v>24</v>
      </c>
      <c r="E1117">
        <v>4</v>
      </c>
      <c r="F1117" t="s">
        <v>25</v>
      </c>
      <c r="G1117">
        <v>21.44</v>
      </c>
      <c r="H1117" t="str" cm="1">
        <f t="array" ref="H1117">_xlfn.XLOOKUP(TRIM(C1117),_xlfn.ANCHORARRAY($L$5),$M$5:$M$18)</f>
        <v>LEGUMEX</v>
      </c>
      <c r="I1117" t="str">
        <v>Huile olive</v>
      </c>
      <c r="J1117">
        <f t="shared" si="22"/>
        <v>4</v>
      </c>
    </row>
    <row r="1118" spans="1:10" x14ac:dyDescent="0.25">
      <c r="A1118" t="s">
        <v>1459</v>
      </c>
      <c r="B1118" t="s">
        <v>1457</v>
      </c>
      <c r="C1118" t="s">
        <v>27</v>
      </c>
      <c r="D1118" t="s">
        <v>28</v>
      </c>
      <c r="E1118">
        <v>4</v>
      </c>
      <c r="F1118" t="s">
        <v>29</v>
      </c>
      <c r="G1118">
        <v>9.5500000000000007</v>
      </c>
      <c r="H1118" t="str" cm="1">
        <f t="array" ref="H1118">_xlfn.XLOOKUP(TRIM(C1118),_xlfn.ANCHORARRAY($L$5),$M$5:$M$18)</f>
        <v>LEGUMEX</v>
      </c>
      <c r="I1118" t="str">
        <v>Sauce tomate</v>
      </c>
      <c r="J1118">
        <f t="shared" si="22"/>
        <v>4</v>
      </c>
    </row>
    <row r="1119" spans="1:10" x14ac:dyDescent="0.25">
      <c r="A1119" t="s">
        <v>1460</v>
      </c>
      <c r="B1119" t="s">
        <v>1457</v>
      </c>
      <c r="C1119" t="s">
        <v>152</v>
      </c>
      <c r="D1119" t="s">
        <v>51</v>
      </c>
      <c r="F1119" t="s">
        <v>52</v>
      </c>
      <c r="G1119">
        <v>18.95</v>
      </c>
      <c r="H1119" t="str" cm="1">
        <f t="array" ref="H1119">_xlfn.XLOOKUP(TRIM(C1119),_xlfn.ANCHORARRAY($L$5),$M$5:$M$18)</f>
        <v>Moulin du Nord</v>
      </c>
      <c r="I1119" t="str">
        <v>Farine</v>
      </c>
      <c r="J1119">
        <f t="shared" si="22"/>
        <v>2</v>
      </c>
    </row>
    <row r="1120" spans="1:10" x14ac:dyDescent="0.25">
      <c r="A1120" t="s">
        <v>1461</v>
      </c>
      <c r="B1120" t="s">
        <v>1457</v>
      </c>
      <c r="C1120" t="s">
        <v>154</v>
      </c>
      <c r="D1120" t="s">
        <v>55</v>
      </c>
      <c r="E1120">
        <v>10</v>
      </c>
      <c r="F1120" t="s">
        <v>17</v>
      </c>
      <c r="G1120">
        <v>8.58</v>
      </c>
      <c r="H1120" t="str" cm="1">
        <f t="array" ref="H1120">_xlfn.XLOOKUP(TRIM(C1120),_xlfn.ANCHORARRAY($L$5),$M$5:$M$18)</f>
        <v>Fromag. Centrale</v>
      </c>
      <c r="I1120" t="str">
        <v>Mozzarella</v>
      </c>
      <c r="J1120">
        <f t="shared" si="22"/>
        <v>10</v>
      </c>
    </row>
    <row r="1121" spans="1:10" x14ac:dyDescent="0.25">
      <c r="A1121" t="s">
        <v>1462</v>
      </c>
      <c r="B1121" t="s">
        <v>1463</v>
      </c>
      <c r="C1121" t="s">
        <v>59</v>
      </c>
      <c r="D1121" t="s">
        <v>10</v>
      </c>
      <c r="E1121">
        <v>5</v>
      </c>
      <c r="F1121" t="s">
        <v>11</v>
      </c>
      <c r="G1121">
        <v>14.99</v>
      </c>
      <c r="H1121" t="str" cm="1">
        <f t="array" ref="H1121">_xlfn.XLOOKUP(TRIM(C1121),_xlfn.ANCHORARRAY($L$5),$M$5:$M$18)</f>
        <v>Metro</v>
      </c>
      <c r="I1121" t="str">
        <v>Coca Cola</v>
      </c>
      <c r="J1121">
        <f t="shared" si="22"/>
        <v>5</v>
      </c>
    </row>
    <row r="1122" spans="1:10" x14ac:dyDescent="0.25">
      <c r="A1122" t="s">
        <v>1464</v>
      </c>
      <c r="B1122" t="s">
        <v>1463</v>
      </c>
      <c r="C1122" t="s">
        <v>97</v>
      </c>
      <c r="D1122" t="s">
        <v>14</v>
      </c>
      <c r="E1122">
        <v>6</v>
      </c>
      <c r="F1122" t="s">
        <v>11</v>
      </c>
      <c r="G1122">
        <v>13.63</v>
      </c>
      <c r="H1122" t="str" cm="1">
        <f t="array" ref="H1122">_xlfn.XLOOKUP(TRIM(C1122),_xlfn.ANCHORARRAY($L$5),$M$5:$M$18)</f>
        <v>Metro</v>
      </c>
      <c r="I1122" t="str">
        <v>7up</v>
      </c>
      <c r="J1122">
        <f t="shared" si="22"/>
        <v>6</v>
      </c>
    </row>
    <row r="1123" spans="1:10" x14ac:dyDescent="0.25">
      <c r="A1123" t="s">
        <v>1465</v>
      </c>
      <c r="B1123" t="s">
        <v>1463</v>
      </c>
      <c r="C1123" t="s">
        <v>9</v>
      </c>
      <c r="D1123" t="s">
        <v>16</v>
      </c>
      <c r="E1123">
        <v>4</v>
      </c>
      <c r="F1123" t="s">
        <v>17</v>
      </c>
      <c r="G1123">
        <v>1.17</v>
      </c>
      <c r="H1123" t="str" cm="1">
        <f t="array" ref="H1123">_xlfn.XLOOKUP(TRIM(C1123),_xlfn.ANCHORARRAY($L$5),$M$5:$M$18)</f>
        <v>Metro</v>
      </c>
      <c r="I1123" t="str">
        <v>Sel</v>
      </c>
      <c r="J1123">
        <f t="shared" si="22"/>
        <v>4</v>
      </c>
    </row>
    <row r="1124" spans="1:10" x14ac:dyDescent="0.25">
      <c r="A1124" t="s">
        <v>1466</v>
      </c>
      <c r="B1124" t="s">
        <v>1467</v>
      </c>
      <c r="C1124" t="s">
        <v>64</v>
      </c>
      <c r="D1124" t="s">
        <v>33</v>
      </c>
      <c r="E1124">
        <v>6</v>
      </c>
      <c r="F1124" t="s">
        <v>17</v>
      </c>
      <c r="G1124">
        <v>9.6</v>
      </c>
      <c r="H1124" t="str" cm="1">
        <f t="array" ref="H1124">_xlfn.XLOOKUP(TRIM(C1124),_xlfn.ANCHORARRAY($L$5),$M$5:$M$18)</f>
        <v>B. Halal Pro</v>
      </c>
      <c r="I1124" t="str">
        <v>Viande hachée</v>
      </c>
      <c r="J1124">
        <f t="shared" si="22"/>
        <v>6</v>
      </c>
    </row>
    <row r="1125" spans="1:10" x14ac:dyDescent="0.25">
      <c r="A1125" t="s">
        <v>1468</v>
      </c>
      <c r="B1125" t="s">
        <v>1467</v>
      </c>
      <c r="C1125" t="s">
        <v>32</v>
      </c>
      <c r="D1125" t="s">
        <v>35</v>
      </c>
      <c r="E1125">
        <v>5</v>
      </c>
      <c r="F1125" t="s">
        <v>17</v>
      </c>
      <c r="G1125">
        <v>7.57</v>
      </c>
      <c r="H1125" t="str" cm="1">
        <f t="array" ref="H1125">_xlfn.XLOOKUP(TRIM(C1125),_xlfn.ANCHORARRAY($L$5),$M$5:$M$18)</f>
        <v>B. Halal Pro</v>
      </c>
      <c r="I1125" t="str">
        <v>Poulet émincé</v>
      </c>
      <c r="J1125">
        <f t="shared" si="22"/>
        <v>5</v>
      </c>
    </row>
    <row r="1126" spans="1:10" x14ac:dyDescent="0.25">
      <c r="A1126" t="s">
        <v>1469</v>
      </c>
      <c r="B1126" t="s">
        <v>1467</v>
      </c>
      <c r="C1126" t="s">
        <v>83</v>
      </c>
      <c r="D1126" t="s">
        <v>38</v>
      </c>
      <c r="E1126">
        <v>12</v>
      </c>
      <c r="F1126" t="s">
        <v>39</v>
      </c>
      <c r="G1126">
        <v>5.82</v>
      </c>
      <c r="H1126" t="str" cm="1">
        <f t="array" ref="H1126">_xlfn.XLOOKUP(TRIM(C1126),_xlfn.ANCHORARRAY($L$5),$M$5:$M$18)</f>
        <v>Boul. Express</v>
      </c>
      <c r="I1126" t="str">
        <v>Pain burger</v>
      </c>
      <c r="J1126">
        <f t="shared" si="22"/>
        <v>12</v>
      </c>
    </row>
    <row r="1127" spans="1:10" x14ac:dyDescent="0.25">
      <c r="A1127" t="s">
        <v>1470</v>
      </c>
      <c r="B1127" t="s">
        <v>1467</v>
      </c>
      <c r="C1127" t="s">
        <v>41</v>
      </c>
      <c r="D1127" t="s">
        <v>42</v>
      </c>
      <c r="E1127">
        <v>5</v>
      </c>
      <c r="F1127" t="s">
        <v>43</v>
      </c>
      <c r="G1127">
        <v>3.87</v>
      </c>
      <c r="H1127" t="str" cm="1">
        <f t="array" ref="H1127">_xlfn.XLOOKUP(TRIM(C1127),_xlfn.ANCHORARRAY($L$5),$M$5:$M$18)</f>
        <v>Boul. Express</v>
      </c>
      <c r="I1127" t="str">
        <v>Pain pita</v>
      </c>
      <c r="J1127">
        <f t="shared" si="22"/>
        <v>5</v>
      </c>
    </row>
    <row r="1128" spans="1:10" x14ac:dyDescent="0.25">
      <c r="A1128" t="s">
        <v>1471</v>
      </c>
      <c r="B1128" t="s">
        <v>1472</v>
      </c>
      <c r="C1128" t="s">
        <v>92</v>
      </c>
      <c r="D1128" t="s">
        <v>55</v>
      </c>
      <c r="E1128">
        <v>8</v>
      </c>
      <c r="F1128" t="s">
        <v>17</v>
      </c>
      <c r="G1128">
        <v>9.0399999999999991</v>
      </c>
      <c r="H1128" t="str" cm="1">
        <f t="array" ref="H1128">_xlfn.XLOOKUP(TRIM(C1128),_xlfn.ANCHORARRAY($L$5),$M$5:$M$18)</f>
        <v>Fromag. Centrale</v>
      </c>
      <c r="I1128" t="str">
        <v>Mozzarella</v>
      </c>
      <c r="J1128">
        <f t="shared" si="22"/>
        <v>8</v>
      </c>
    </row>
    <row r="1129" spans="1:10" x14ac:dyDescent="0.25">
      <c r="A1129" t="s">
        <v>1473</v>
      </c>
      <c r="B1129" t="s">
        <v>1474</v>
      </c>
      <c r="C1129" t="s">
        <v>13</v>
      </c>
      <c r="D1129" t="s">
        <v>10</v>
      </c>
      <c r="E1129">
        <v>3</v>
      </c>
      <c r="F1129" t="s">
        <v>11</v>
      </c>
      <c r="G1129">
        <v>14.93</v>
      </c>
      <c r="H1129" t="str" cm="1">
        <f t="array" ref="H1129">_xlfn.XLOOKUP(TRIM(C1129),_xlfn.ANCHORARRAY($L$5),$M$5:$M$18)</f>
        <v>Metro</v>
      </c>
      <c r="I1129" t="str">
        <v>Coca Cola</v>
      </c>
      <c r="J1129">
        <f t="shared" si="22"/>
        <v>3</v>
      </c>
    </row>
    <row r="1130" spans="1:10" x14ac:dyDescent="0.25">
      <c r="A1130" t="s">
        <v>1475</v>
      </c>
      <c r="B1130" t="s">
        <v>1474</v>
      </c>
      <c r="C1130" t="s">
        <v>9</v>
      </c>
      <c r="D1130" t="s">
        <v>14</v>
      </c>
      <c r="E1130">
        <v>5</v>
      </c>
      <c r="F1130" t="s">
        <v>11</v>
      </c>
      <c r="G1130">
        <v>13.38</v>
      </c>
      <c r="H1130" t="str" cm="1">
        <f t="array" ref="H1130">_xlfn.XLOOKUP(TRIM(C1130),_xlfn.ANCHORARRAY($L$5),$M$5:$M$18)</f>
        <v>Metro</v>
      </c>
      <c r="I1130" t="str">
        <v>7up</v>
      </c>
      <c r="J1130">
        <f t="shared" si="22"/>
        <v>5</v>
      </c>
    </row>
    <row r="1131" spans="1:10" x14ac:dyDescent="0.25">
      <c r="A1131" t="s">
        <v>1476</v>
      </c>
      <c r="B1131" t="s">
        <v>1474</v>
      </c>
      <c r="C1131" t="s">
        <v>97</v>
      </c>
      <c r="D1131" t="s">
        <v>16</v>
      </c>
      <c r="E1131">
        <v>3</v>
      </c>
      <c r="F1131" t="s">
        <v>17</v>
      </c>
      <c r="G1131">
        <v>1.26</v>
      </c>
      <c r="H1131" t="str" cm="1">
        <f t="array" ref="H1131">_xlfn.XLOOKUP(TRIM(C1131),_xlfn.ANCHORARRAY($L$5),$M$5:$M$18)</f>
        <v>Metro</v>
      </c>
      <c r="I1131" t="str">
        <v>Sel</v>
      </c>
      <c r="J1131">
        <f t="shared" si="22"/>
        <v>3</v>
      </c>
    </row>
    <row r="1132" spans="1:10" x14ac:dyDescent="0.25">
      <c r="A1132" t="s">
        <v>1477</v>
      </c>
      <c r="B1132" t="s">
        <v>1474</v>
      </c>
      <c r="C1132" t="s">
        <v>27</v>
      </c>
      <c r="D1132" t="s">
        <v>20</v>
      </c>
      <c r="E1132">
        <v>10</v>
      </c>
      <c r="F1132" t="s">
        <v>21</v>
      </c>
      <c r="G1132">
        <v>4.12</v>
      </c>
      <c r="H1132" t="str" cm="1">
        <f t="array" ref="H1132">_xlfn.XLOOKUP(TRIM(C1132),_xlfn.ANCHORARRAY($L$5),$M$5:$M$18)</f>
        <v>LEGUMEX</v>
      </c>
      <c r="I1132" t="str">
        <v>Tomates pelées</v>
      </c>
      <c r="J1132">
        <f t="shared" si="22"/>
        <v>10</v>
      </c>
    </row>
    <row r="1133" spans="1:10" x14ac:dyDescent="0.25">
      <c r="A1133" t="s">
        <v>1478</v>
      </c>
      <c r="B1133" t="s">
        <v>1474</v>
      </c>
      <c r="C1133" t="s">
        <v>19</v>
      </c>
      <c r="D1133" t="s">
        <v>24</v>
      </c>
      <c r="E1133">
        <v>4</v>
      </c>
      <c r="F1133" t="s">
        <v>25</v>
      </c>
      <c r="G1133">
        <v>23.17</v>
      </c>
      <c r="H1133" t="str" cm="1">
        <f t="array" ref="H1133">_xlfn.XLOOKUP(TRIM(C1133),_xlfn.ANCHORARRAY($L$5),$M$5:$M$18)</f>
        <v>LEGUMEX</v>
      </c>
      <c r="I1133" t="str">
        <v>Huile olive</v>
      </c>
      <c r="J1133">
        <f t="shared" si="22"/>
        <v>4</v>
      </c>
    </row>
    <row r="1134" spans="1:10" x14ac:dyDescent="0.25">
      <c r="A1134" t="s">
        <v>1479</v>
      </c>
      <c r="B1134" t="s">
        <v>1474</v>
      </c>
      <c r="C1134" t="s">
        <v>19</v>
      </c>
      <c r="D1134" t="s">
        <v>28</v>
      </c>
      <c r="E1134">
        <v>4</v>
      </c>
      <c r="F1134" t="s">
        <v>29</v>
      </c>
      <c r="G1134">
        <v>9.32</v>
      </c>
      <c r="H1134" t="str" cm="1">
        <f t="array" ref="H1134">_xlfn.XLOOKUP(TRIM(C1134),_xlfn.ANCHORARRAY($L$5),$M$5:$M$18)</f>
        <v>LEGUMEX</v>
      </c>
      <c r="I1134" t="str">
        <v>Sauce tomate</v>
      </c>
      <c r="J1134">
        <f t="shared" si="22"/>
        <v>4</v>
      </c>
    </row>
    <row r="1135" spans="1:10" x14ac:dyDescent="0.25">
      <c r="A1135" t="s">
        <v>1480</v>
      </c>
      <c r="B1135" t="s">
        <v>1481</v>
      </c>
      <c r="C1135" t="s">
        <v>66</v>
      </c>
      <c r="D1135" t="s">
        <v>33</v>
      </c>
      <c r="E1135">
        <v>6</v>
      </c>
      <c r="F1135" t="s">
        <v>17</v>
      </c>
      <c r="G1135">
        <v>9.93</v>
      </c>
      <c r="H1135" t="str" cm="1">
        <f t="array" ref="H1135">_xlfn.XLOOKUP(TRIM(C1135),_xlfn.ANCHORARRAY($L$5),$M$5:$M$18)</f>
        <v>B. Halal Pro</v>
      </c>
      <c r="I1135" t="str">
        <v>Viande hachée</v>
      </c>
      <c r="J1135">
        <f t="shared" si="22"/>
        <v>6</v>
      </c>
    </row>
    <row r="1136" spans="1:10" x14ac:dyDescent="0.25">
      <c r="A1136" t="s">
        <v>1482</v>
      </c>
      <c r="B1136" t="s">
        <v>1481</v>
      </c>
      <c r="C1136" t="s">
        <v>64</v>
      </c>
      <c r="D1136" t="s">
        <v>35</v>
      </c>
      <c r="E1136">
        <v>10</v>
      </c>
      <c r="F1136" t="s">
        <v>17</v>
      </c>
      <c r="G1136">
        <v>6.91</v>
      </c>
      <c r="H1136" t="str" cm="1">
        <f t="array" ref="H1136">_xlfn.XLOOKUP(TRIM(C1136),_xlfn.ANCHORARRAY($L$5),$M$5:$M$18)</f>
        <v>B. Halal Pro</v>
      </c>
      <c r="I1136" t="str">
        <v>Poulet émincé</v>
      </c>
      <c r="J1136">
        <f t="shared" si="22"/>
        <v>10</v>
      </c>
    </row>
    <row r="1137" spans="1:10" x14ac:dyDescent="0.25">
      <c r="A1137" t="s">
        <v>1483</v>
      </c>
      <c r="B1137" t="s">
        <v>1481</v>
      </c>
      <c r="C1137" t="s">
        <v>37</v>
      </c>
      <c r="D1137" t="s">
        <v>38</v>
      </c>
      <c r="E1137">
        <v>5</v>
      </c>
      <c r="F1137" t="s">
        <v>39</v>
      </c>
      <c r="G1137">
        <v>6.01</v>
      </c>
      <c r="H1137" t="str" cm="1">
        <f t="array" ref="H1137">_xlfn.XLOOKUP(TRIM(C1137),_xlfn.ANCHORARRAY($L$5),$M$5:$M$18)</f>
        <v>Boul. Express</v>
      </c>
      <c r="I1137" t="str">
        <v>Pain burger</v>
      </c>
      <c r="J1137">
        <f t="shared" si="22"/>
        <v>5</v>
      </c>
    </row>
    <row r="1138" spans="1:10" x14ac:dyDescent="0.25">
      <c r="A1138" t="s">
        <v>1484</v>
      </c>
      <c r="B1138" t="s">
        <v>1481</v>
      </c>
      <c r="C1138" t="s">
        <v>83</v>
      </c>
      <c r="D1138" t="s">
        <v>42</v>
      </c>
      <c r="E1138">
        <v>5</v>
      </c>
      <c r="F1138" t="s">
        <v>43</v>
      </c>
      <c r="G1138">
        <v>3.99</v>
      </c>
      <c r="H1138" t="str" cm="1">
        <f t="array" ref="H1138">_xlfn.XLOOKUP(TRIM(C1138),_xlfn.ANCHORARRAY($L$5),$M$5:$M$18)</f>
        <v>Boul. Express</v>
      </c>
      <c r="I1138" t="str">
        <v>Pain pita</v>
      </c>
      <c r="J1138">
        <f t="shared" si="22"/>
        <v>5</v>
      </c>
    </row>
    <row r="1139" spans="1:10" x14ac:dyDescent="0.25">
      <c r="A1139" t="s">
        <v>1485</v>
      </c>
      <c r="B1139" t="s">
        <v>1486</v>
      </c>
      <c r="C1139" t="s">
        <v>19</v>
      </c>
      <c r="D1139" t="s">
        <v>20</v>
      </c>
      <c r="E1139">
        <v>8</v>
      </c>
      <c r="F1139" t="s">
        <v>21</v>
      </c>
      <c r="G1139">
        <v>4.16</v>
      </c>
      <c r="H1139" t="str" cm="1">
        <f t="array" ref="H1139">_xlfn.XLOOKUP(TRIM(C1139),_xlfn.ANCHORARRAY($L$5),$M$5:$M$18)</f>
        <v>LEGUMEX</v>
      </c>
      <c r="I1139" t="str">
        <v>Tomates pelées</v>
      </c>
      <c r="J1139">
        <f t="shared" si="22"/>
        <v>8</v>
      </c>
    </row>
    <row r="1140" spans="1:10" x14ac:dyDescent="0.25">
      <c r="A1140" t="s">
        <v>1487</v>
      </c>
      <c r="B1140" t="s">
        <v>1486</v>
      </c>
      <c r="C1140" t="s">
        <v>23</v>
      </c>
      <c r="D1140" t="s">
        <v>24</v>
      </c>
      <c r="E1140">
        <v>4</v>
      </c>
      <c r="F1140" t="s">
        <v>25</v>
      </c>
      <c r="G1140">
        <v>23</v>
      </c>
      <c r="H1140" t="str" cm="1">
        <f t="array" ref="H1140">_xlfn.XLOOKUP(TRIM(C1140),_xlfn.ANCHORARRAY($L$5),$M$5:$M$18)</f>
        <v>LEGUMEX</v>
      </c>
      <c r="I1140" t="str">
        <v>Huile olive</v>
      </c>
      <c r="J1140">
        <f t="shared" si="22"/>
        <v>4</v>
      </c>
    </row>
    <row r="1141" spans="1:10" x14ac:dyDescent="0.25">
      <c r="A1141" t="s">
        <v>1488</v>
      </c>
      <c r="B1141" t="s">
        <v>1486</v>
      </c>
      <c r="C1141" t="s">
        <v>46</v>
      </c>
      <c r="D1141" t="s">
        <v>28</v>
      </c>
      <c r="E1141">
        <v>8</v>
      </c>
      <c r="F1141" t="s">
        <v>29</v>
      </c>
      <c r="G1141">
        <v>10.23</v>
      </c>
      <c r="H1141" t="str" cm="1">
        <f t="array" ref="H1141">_xlfn.XLOOKUP(TRIM(C1141),_xlfn.ANCHORARRAY($L$5),$M$5:$M$18)</f>
        <v>LEGUMEX</v>
      </c>
      <c r="I1141" t="str">
        <v>Sauce tomate</v>
      </c>
      <c r="J1141">
        <f t="shared" si="22"/>
        <v>8</v>
      </c>
    </row>
    <row r="1142" spans="1:10" x14ac:dyDescent="0.25">
      <c r="A1142" t="s">
        <v>1489</v>
      </c>
      <c r="B1142" t="s">
        <v>1486</v>
      </c>
      <c r="C1142" t="s">
        <v>50</v>
      </c>
      <c r="D1142" t="s">
        <v>51</v>
      </c>
      <c r="E1142">
        <v>4</v>
      </c>
      <c r="F1142" t="s">
        <v>52</v>
      </c>
      <c r="G1142">
        <v>18.940000000000001</v>
      </c>
      <c r="H1142" t="str" cm="1">
        <f t="array" ref="H1142">_xlfn.XLOOKUP(TRIM(C1142),_xlfn.ANCHORARRAY($L$5),$M$5:$M$18)</f>
        <v>Moulin du Nord</v>
      </c>
      <c r="I1142" t="str">
        <v>Farine</v>
      </c>
      <c r="J1142">
        <f t="shared" si="22"/>
        <v>4</v>
      </c>
    </row>
    <row r="1143" spans="1:10" x14ac:dyDescent="0.25">
      <c r="A1143" t="s">
        <v>1490</v>
      </c>
      <c r="B1143" t="s">
        <v>1486</v>
      </c>
      <c r="C1143" t="s">
        <v>195</v>
      </c>
      <c r="D1143" t="s">
        <v>55</v>
      </c>
      <c r="E1143">
        <v>6</v>
      </c>
      <c r="F1143" t="s">
        <v>17</v>
      </c>
      <c r="G1143">
        <v>8.64</v>
      </c>
      <c r="H1143" t="str" cm="1">
        <f t="array" ref="H1143">_xlfn.XLOOKUP(TRIM(C1143),_xlfn.ANCHORARRAY($L$5),$M$5:$M$18)</f>
        <v>Fromag. Centrale</v>
      </c>
      <c r="I1143" t="str">
        <v>Mozzarella</v>
      </c>
      <c r="J1143">
        <f t="shared" si="22"/>
        <v>6</v>
      </c>
    </row>
    <row r="1144" spans="1:10" x14ac:dyDescent="0.25">
      <c r="A1144" t="s">
        <v>1491</v>
      </c>
      <c r="B1144" t="s">
        <v>1492</v>
      </c>
      <c r="C1144" t="s">
        <v>97</v>
      </c>
      <c r="D1144" t="s">
        <v>10</v>
      </c>
      <c r="E1144">
        <v>6</v>
      </c>
      <c r="F1144" t="s">
        <v>11</v>
      </c>
      <c r="G1144">
        <v>14.32</v>
      </c>
      <c r="H1144" t="str" cm="1">
        <f t="array" ref="H1144">_xlfn.XLOOKUP(TRIM(C1144),_xlfn.ANCHORARRAY($L$5),$M$5:$M$18)</f>
        <v>Metro</v>
      </c>
      <c r="I1144" t="str">
        <v>Coca Cola</v>
      </c>
      <c r="J1144">
        <f t="shared" si="22"/>
        <v>6</v>
      </c>
    </row>
    <row r="1145" spans="1:10" x14ac:dyDescent="0.25">
      <c r="A1145" t="s">
        <v>1493</v>
      </c>
      <c r="B1145" t="s">
        <v>1492</v>
      </c>
      <c r="C1145" t="s">
        <v>61</v>
      </c>
      <c r="D1145" t="s">
        <v>14</v>
      </c>
      <c r="E1145">
        <v>4</v>
      </c>
      <c r="F1145" t="s">
        <v>11</v>
      </c>
      <c r="G1145">
        <v>12.89</v>
      </c>
      <c r="H1145" t="str" cm="1">
        <f t="array" ref="H1145">_xlfn.XLOOKUP(TRIM(C1145),_xlfn.ANCHORARRAY($L$5),$M$5:$M$18)</f>
        <v>Metro</v>
      </c>
      <c r="I1145" t="str">
        <v>7up</v>
      </c>
      <c r="J1145">
        <f t="shared" si="22"/>
        <v>4</v>
      </c>
    </row>
    <row r="1146" spans="1:10" x14ac:dyDescent="0.25">
      <c r="A1146" t="s">
        <v>1494</v>
      </c>
      <c r="B1146" t="s">
        <v>1492</v>
      </c>
      <c r="C1146" t="s">
        <v>97</v>
      </c>
      <c r="D1146" t="s">
        <v>16</v>
      </c>
      <c r="E1146">
        <v>5</v>
      </c>
      <c r="F1146" t="s">
        <v>17</v>
      </c>
      <c r="G1146">
        <v>1.22</v>
      </c>
      <c r="H1146" t="str" cm="1">
        <f t="array" ref="H1146">_xlfn.XLOOKUP(TRIM(C1146),_xlfn.ANCHORARRAY($L$5),$M$5:$M$18)</f>
        <v>Metro</v>
      </c>
      <c r="I1146" t="str">
        <v>Sel</v>
      </c>
      <c r="J1146">
        <f t="shared" si="22"/>
        <v>5</v>
      </c>
    </row>
    <row r="1147" spans="1:10" x14ac:dyDescent="0.25">
      <c r="A1147" t="s">
        <v>1495</v>
      </c>
      <c r="B1147" t="s">
        <v>1496</v>
      </c>
      <c r="C1147" t="s">
        <v>66</v>
      </c>
      <c r="D1147" t="s">
        <v>33</v>
      </c>
      <c r="E1147">
        <v>5</v>
      </c>
      <c r="F1147" t="s">
        <v>17</v>
      </c>
      <c r="G1147">
        <v>10.029999999999999</v>
      </c>
      <c r="H1147" t="str" cm="1">
        <f t="array" ref="H1147">_xlfn.XLOOKUP(TRIM(C1147),_xlfn.ANCHORARRAY($L$5),$M$5:$M$18)</f>
        <v>B. Halal Pro</v>
      </c>
      <c r="I1147" t="str">
        <v>Viande hachée</v>
      </c>
      <c r="J1147">
        <f t="shared" si="22"/>
        <v>5</v>
      </c>
    </row>
    <row r="1148" spans="1:10" x14ac:dyDescent="0.25">
      <c r="A1148" t="s">
        <v>1497</v>
      </c>
      <c r="B1148" t="s">
        <v>1496</v>
      </c>
      <c r="C1148" t="s">
        <v>32</v>
      </c>
      <c r="D1148" t="s">
        <v>35</v>
      </c>
      <c r="E1148">
        <v>6</v>
      </c>
      <c r="F1148" t="s">
        <v>17</v>
      </c>
      <c r="G1148">
        <v>7.52</v>
      </c>
      <c r="H1148" t="str" cm="1">
        <f t="array" ref="H1148">_xlfn.XLOOKUP(TRIM(C1148),_xlfn.ANCHORARRAY($L$5),$M$5:$M$18)</f>
        <v>B. Halal Pro</v>
      </c>
      <c r="I1148" t="str">
        <v>Poulet émincé</v>
      </c>
      <c r="J1148">
        <f t="shared" si="22"/>
        <v>6</v>
      </c>
    </row>
    <row r="1149" spans="1:10" x14ac:dyDescent="0.25">
      <c r="A1149" t="s">
        <v>1498</v>
      </c>
      <c r="B1149" t="s">
        <v>1496</v>
      </c>
      <c r="C1149" t="s">
        <v>41</v>
      </c>
      <c r="D1149" t="s">
        <v>38</v>
      </c>
      <c r="E1149">
        <v>12</v>
      </c>
      <c r="F1149" t="s">
        <v>39</v>
      </c>
      <c r="G1149">
        <v>5.91</v>
      </c>
      <c r="H1149" t="str" cm="1">
        <f t="array" ref="H1149">_xlfn.XLOOKUP(TRIM(C1149),_xlfn.ANCHORARRAY($L$5),$M$5:$M$18)</f>
        <v>Boul. Express</v>
      </c>
      <c r="I1149" t="str">
        <v>Pain burger</v>
      </c>
      <c r="J1149">
        <f t="shared" si="22"/>
        <v>12</v>
      </c>
    </row>
    <row r="1150" spans="1:10" x14ac:dyDescent="0.25">
      <c r="A1150" t="s">
        <v>1499</v>
      </c>
      <c r="B1150" t="s">
        <v>1496</v>
      </c>
      <c r="C1150" t="s">
        <v>69</v>
      </c>
      <c r="D1150" t="s">
        <v>42</v>
      </c>
      <c r="E1150">
        <v>8</v>
      </c>
      <c r="F1150" t="s">
        <v>43</v>
      </c>
      <c r="G1150">
        <v>4</v>
      </c>
      <c r="H1150" t="str" cm="1">
        <f t="array" ref="H1150">_xlfn.XLOOKUP(TRIM(C1150),_xlfn.ANCHORARRAY($L$5),$M$5:$M$18)</f>
        <v>Boul. Express</v>
      </c>
      <c r="I1150" t="str">
        <v>Pain pita</v>
      </c>
      <c r="J1150">
        <f t="shared" si="22"/>
        <v>8</v>
      </c>
    </row>
    <row r="1151" spans="1:10" x14ac:dyDescent="0.25">
      <c r="A1151" t="s">
        <v>1500</v>
      </c>
      <c r="B1151" t="s">
        <v>1501</v>
      </c>
      <c r="C1151" t="s">
        <v>54</v>
      </c>
      <c r="D1151" t="s">
        <v>55</v>
      </c>
      <c r="E1151">
        <v>8</v>
      </c>
      <c r="F1151" t="s">
        <v>17</v>
      </c>
      <c r="G1151">
        <v>8.9499999999999993</v>
      </c>
      <c r="H1151" t="str" cm="1">
        <f t="array" ref="H1151">_xlfn.XLOOKUP(TRIM(C1151),_xlfn.ANCHORARRAY($L$5),$M$5:$M$18)</f>
        <v>Fromag. Centrale</v>
      </c>
      <c r="I1151" t="str">
        <v>Mozzarella</v>
      </c>
      <c r="J1151">
        <f t="shared" si="22"/>
        <v>8</v>
      </c>
    </row>
    <row r="1152" spans="1:10" x14ac:dyDescent="0.25">
      <c r="A1152" t="s">
        <v>1502</v>
      </c>
      <c r="B1152" t="s">
        <v>1503</v>
      </c>
      <c r="C1152" t="s">
        <v>61</v>
      </c>
      <c r="D1152" t="s">
        <v>10</v>
      </c>
      <c r="E1152">
        <v>3</v>
      </c>
      <c r="F1152" t="s">
        <v>11</v>
      </c>
      <c r="G1152">
        <v>14.02</v>
      </c>
      <c r="H1152" t="str" cm="1">
        <f t="array" ref="H1152">_xlfn.XLOOKUP(TRIM(C1152),_xlfn.ANCHORARRAY($L$5),$M$5:$M$18)</f>
        <v>Metro</v>
      </c>
      <c r="I1152" t="str">
        <v>Coca Cola</v>
      </c>
      <c r="J1152">
        <f t="shared" si="22"/>
        <v>3</v>
      </c>
    </row>
    <row r="1153" spans="1:10" x14ac:dyDescent="0.25">
      <c r="A1153" t="s">
        <v>1504</v>
      </c>
      <c r="B1153" t="s">
        <v>1503</v>
      </c>
      <c r="C1153" t="s">
        <v>13</v>
      </c>
      <c r="D1153" t="s">
        <v>14</v>
      </c>
      <c r="E1153">
        <v>3</v>
      </c>
      <c r="F1153" t="s">
        <v>11</v>
      </c>
      <c r="G1153">
        <v>13.04</v>
      </c>
      <c r="H1153" t="str" cm="1">
        <f t="array" ref="H1153">_xlfn.XLOOKUP(TRIM(C1153),_xlfn.ANCHORARRAY($L$5),$M$5:$M$18)</f>
        <v>Metro</v>
      </c>
      <c r="I1153" t="str">
        <v>7up</v>
      </c>
      <c r="J1153">
        <f t="shared" si="22"/>
        <v>3</v>
      </c>
    </row>
    <row r="1154" spans="1:10" x14ac:dyDescent="0.25">
      <c r="A1154" t="s">
        <v>1505</v>
      </c>
      <c r="B1154" t="s">
        <v>1503</v>
      </c>
      <c r="C1154" t="s">
        <v>9</v>
      </c>
      <c r="D1154" t="s">
        <v>16</v>
      </c>
      <c r="E1154">
        <v>3</v>
      </c>
      <c r="F1154" t="s">
        <v>17</v>
      </c>
      <c r="G1154">
        <v>1.23</v>
      </c>
      <c r="H1154" t="str" cm="1">
        <f t="array" ref="H1154">_xlfn.XLOOKUP(TRIM(C1154),_xlfn.ANCHORARRAY($L$5),$M$5:$M$18)</f>
        <v>Metro</v>
      </c>
      <c r="I1154" t="str">
        <v>Sel</v>
      </c>
      <c r="J1154">
        <f t="shared" ref="J1154:J1217" si="23">IF(E1154&lt;&gt;0,E1154,_xlfn.XLOOKUP(I1154,$Q$5:$Q$16,$Y$5:$Y$16))</f>
        <v>3</v>
      </c>
    </row>
    <row r="1155" spans="1:10" x14ac:dyDescent="0.25">
      <c r="A1155" t="s">
        <v>1506</v>
      </c>
      <c r="B1155" t="s">
        <v>1503</v>
      </c>
      <c r="C1155" t="s">
        <v>23</v>
      </c>
      <c r="D1155" t="s">
        <v>20</v>
      </c>
      <c r="E1155">
        <v>8</v>
      </c>
      <c r="F1155" t="s">
        <v>21</v>
      </c>
      <c r="G1155">
        <v>4.28</v>
      </c>
      <c r="H1155" t="str" cm="1">
        <f t="array" ref="H1155">_xlfn.XLOOKUP(TRIM(C1155),_xlfn.ANCHORARRAY($L$5),$M$5:$M$18)</f>
        <v>LEGUMEX</v>
      </c>
      <c r="I1155" t="str">
        <v>Tomates pelées</v>
      </c>
      <c r="J1155">
        <f t="shared" si="23"/>
        <v>8</v>
      </c>
    </row>
    <row r="1156" spans="1:10" x14ac:dyDescent="0.25">
      <c r="A1156" t="s">
        <v>1507</v>
      </c>
      <c r="B1156" t="s">
        <v>1503</v>
      </c>
      <c r="C1156" t="s">
        <v>19</v>
      </c>
      <c r="D1156" t="s">
        <v>24</v>
      </c>
      <c r="F1156" t="s">
        <v>25</v>
      </c>
      <c r="G1156">
        <v>22.63</v>
      </c>
      <c r="H1156" t="str" cm="1">
        <f t="array" ref="H1156">_xlfn.XLOOKUP(TRIM(C1156),_xlfn.ANCHORARRAY($L$5),$M$5:$M$18)</f>
        <v>LEGUMEX</v>
      </c>
      <c r="I1156" t="str">
        <v>Huile olive</v>
      </c>
      <c r="J1156">
        <f t="shared" si="23"/>
        <v>6</v>
      </c>
    </row>
    <row r="1157" spans="1:10" x14ac:dyDescent="0.25">
      <c r="A1157" t="s">
        <v>1508</v>
      </c>
      <c r="B1157" t="s">
        <v>1503</v>
      </c>
      <c r="C1157" t="s">
        <v>19</v>
      </c>
      <c r="D1157" t="s">
        <v>28</v>
      </c>
      <c r="E1157">
        <v>4</v>
      </c>
      <c r="F1157" t="s">
        <v>29</v>
      </c>
      <c r="G1157">
        <v>10.15</v>
      </c>
      <c r="H1157" t="str" cm="1">
        <f t="array" ref="H1157">_xlfn.XLOOKUP(TRIM(C1157),_xlfn.ANCHORARRAY($L$5),$M$5:$M$18)</f>
        <v>LEGUMEX</v>
      </c>
      <c r="I1157" t="str">
        <v>Sauce tomate</v>
      </c>
      <c r="J1157">
        <f t="shared" si="23"/>
        <v>4</v>
      </c>
    </row>
    <row r="1158" spans="1:10" x14ac:dyDescent="0.25">
      <c r="A1158" t="s">
        <v>1509</v>
      </c>
      <c r="B1158" t="s">
        <v>1510</v>
      </c>
      <c r="C1158" t="s">
        <v>64</v>
      </c>
      <c r="D1158" t="s">
        <v>33</v>
      </c>
      <c r="E1158">
        <v>10</v>
      </c>
      <c r="F1158" t="s">
        <v>17</v>
      </c>
      <c r="G1158">
        <v>9.18</v>
      </c>
      <c r="H1158" t="str" cm="1">
        <f t="array" ref="H1158">_xlfn.XLOOKUP(TRIM(C1158),_xlfn.ANCHORARRAY($L$5),$M$5:$M$18)</f>
        <v>B. Halal Pro</v>
      </c>
      <c r="I1158" t="str">
        <v>Viande hachée</v>
      </c>
      <c r="J1158">
        <f t="shared" si="23"/>
        <v>10</v>
      </c>
    </row>
    <row r="1159" spans="1:10" x14ac:dyDescent="0.25">
      <c r="A1159" t="s">
        <v>1511</v>
      </c>
      <c r="B1159" t="s">
        <v>1510</v>
      </c>
      <c r="C1159" t="s">
        <v>64</v>
      </c>
      <c r="D1159" t="s">
        <v>35</v>
      </c>
      <c r="E1159">
        <v>8</v>
      </c>
      <c r="F1159" t="s">
        <v>17</v>
      </c>
      <c r="G1159">
        <v>7.57</v>
      </c>
      <c r="H1159" t="str" cm="1">
        <f t="array" ref="H1159">_xlfn.XLOOKUP(TRIM(C1159),_xlfn.ANCHORARRAY($L$5),$M$5:$M$18)</f>
        <v>B. Halal Pro</v>
      </c>
      <c r="I1159" t="str">
        <v>Poulet émincé</v>
      </c>
      <c r="J1159">
        <f t="shared" si="23"/>
        <v>8</v>
      </c>
    </row>
    <row r="1160" spans="1:10" x14ac:dyDescent="0.25">
      <c r="A1160" t="s">
        <v>1512</v>
      </c>
      <c r="B1160" t="s">
        <v>1510</v>
      </c>
      <c r="C1160" t="s">
        <v>41</v>
      </c>
      <c r="D1160" t="s">
        <v>38</v>
      </c>
      <c r="E1160">
        <v>5</v>
      </c>
      <c r="F1160" t="s">
        <v>39</v>
      </c>
      <c r="G1160">
        <v>5.97</v>
      </c>
      <c r="H1160" t="str" cm="1">
        <f t="array" ref="H1160">_xlfn.XLOOKUP(TRIM(C1160),_xlfn.ANCHORARRAY($L$5),$M$5:$M$18)</f>
        <v>Boul. Express</v>
      </c>
      <c r="I1160" t="str">
        <v>Pain burger</v>
      </c>
      <c r="J1160">
        <f t="shared" si="23"/>
        <v>5</v>
      </c>
    </row>
    <row r="1161" spans="1:10" x14ac:dyDescent="0.25">
      <c r="A1161" t="s">
        <v>1513</v>
      </c>
      <c r="B1161" t="s">
        <v>1510</v>
      </c>
      <c r="C1161" t="s">
        <v>41</v>
      </c>
      <c r="D1161" t="s">
        <v>42</v>
      </c>
      <c r="E1161">
        <v>8</v>
      </c>
      <c r="F1161" t="s">
        <v>43</v>
      </c>
      <c r="G1161">
        <v>3.85</v>
      </c>
      <c r="H1161" t="str" cm="1">
        <f t="array" ref="H1161">_xlfn.XLOOKUP(TRIM(C1161),_xlfn.ANCHORARRAY($L$5),$M$5:$M$18)</f>
        <v>Boul. Express</v>
      </c>
      <c r="I1161" t="str">
        <v>Pain pita</v>
      </c>
      <c r="J1161">
        <f t="shared" si="23"/>
        <v>8</v>
      </c>
    </row>
    <row r="1162" spans="1:10" x14ac:dyDescent="0.25">
      <c r="A1162" t="s">
        <v>1514</v>
      </c>
      <c r="B1162" t="s">
        <v>1515</v>
      </c>
      <c r="C1162" t="s">
        <v>19</v>
      </c>
      <c r="D1162" t="s">
        <v>20</v>
      </c>
      <c r="E1162">
        <v>6</v>
      </c>
      <c r="F1162" t="s">
        <v>21</v>
      </c>
      <c r="G1162">
        <v>4.0999999999999996</v>
      </c>
      <c r="H1162" t="str" cm="1">
        <f t="array" ref="H1162">_xlfn.XLOOKUP(TRIM(C1162),_xlfn.ANCHORARRAY($L$5),$M$5:$M$18)</f>
        <v>LEGUMEX</v>
      </c>
      <c r="I1162" t="str">
        <v>Tomates pelées</v>
      </c>
      <c r="J1162">
        <f t="shared" si="23"/>
        <v>6</v>
      </c>
    </row>
    <row r="1163" spans="1:10" x14ac:dyDescent="0.25">
      <c r="A1163" t="s">
        <v>1516</v>
      </c>
      <c r="B1163" t="s">
        <v>1515</v>
      </c>
      <c r="C1163" t="s">
        <v>19</v>
      </c>
      <c r="D1163" t="s">
        <v>24</v>
      </c>
      <c r="E1163">
        <v>10</v>
      </c>
      <c r="F1163" t="s">
        <v>25</v>
      </c>
      <c r="G1163">
        <v>22.5</v>
      </c>
      <c r="H1163" t="str" cm="1">
        <f t="array" ref="H1163">_xlfn.XLOOKUP(TRIM(C1163),_xlfn.ANCHORARRAY($L$5),$M$5:$M$18)</f>
        <v>LEGUMEX</v>
      </c>
      <c r="I1163" t="str">
        <v>Huile olive</v>
      </c>
      <c r="J1163">
        <f t="shared" si="23"/>
        <v>10</v>
      </c>
    </row>
    <row r="1164" spans="1:10" x14ac:dyDescent="0.25">
      <c r="A1164" t="s">
        <v>1517</v>
      </c>
      <c r="B1164" t="s">
        <v>1515</v>
      </c>
      <c r="C1164" t="s">
        <v>46</v>
      </c>
      <c r="D1164" t="s">
        <v>28</v>
      </c>
      <c r="E1164">
        <v>10</v>
      </c>
      <c r="F1164" t="s">
        <v>29</v>
      </c>
      <c r="G1164">
        <v>10.17</v>
      </c>
      <c r="H1164" t="str" cm="1">
        <f t="array" ref="H1164">_xlfn.XLOOKUP(TRIM(C1164),_xlfn.ANCHORARRAY($L$5),$M$5:$M$18)</f>
        <v>LEGUMEX</v>
      </c>
      <c r="I1164" t="str">
        <v>Sauce tomate</v>
      </c>
      <c r="J1164">
        <f t="shared" si="23"/>
        <v>10</v>
      </c>
    </row>
    <row r="1165" spans="1:10" x14ac:dyDescent="0.25">
      <c r="A1165" t="s">
        <v>1518</v>
      </c>
      <c r="B1165" t="s">
        <v>1515</v>
      </c>
      <c r="C1165" t="s">
        <v>152</v>
      </c>
      <c r="D1165" t="s">
        <v>51</v>
      </c>
      <c r="E1165">
        <v>4</v>
      </c>
      <c r="F1165" t="s">
        <v>52</v>
      </c>
      <c r="G1165">
        <v>19.079999999999998</v>
      </c>
      <c r="H1165" t="str" cm="1">
        <f t="array" ref="H1165">_xlfn.XLOOKUP(TRIM(C1165),_xlfn.ANCHORARRAY($L$5),$M$5:$M$18)</f>
        <v>Moulin du Nord</v>
      </c>
      <c r="I1165" t="str">
        <v>Farine</v>
      </c>
      <c r="J1165">
        <f t="shared" si="23"/>
        <v>4</v>
      </c>
    </row>
    <row r="1166" spans="1:10" x14ac:dyDescent="0.25">
      <c r="A1166" t="s">
        <v>1519</v>
      </c>
      <c r="B1166" t="s">
        <v>1515</v>
      </c>
      <c r="C1166" t="s">
        <v>54</v>
      </c>
      <c r="D1166" t="s">
        <v>55</v>
      </c>
      <c r="E1166">
        <v>10</v>
      </c>
      <c r="F1166" t="s">
        <v>17</v>
      </c>
      <c r="G1166">
        <v>9.3000000000000007</v>
      </c>
      <c r="H1166" t="str" cm="1">
        <f t="array" ref="H1166">_xlfn.XLOOKUP(TRIM(C1166),_xlfn.ANCHORARRAY($L$5),$M$5:$M$18)</f>
        <v>Fromag. Centrale</v>
      </c>
      <c r="I1166" t="str">
        <v>Mozzarella</v>
      </c>
      <c r="J1166">
        <f t="shared" si="23"/>
        <v>10</v>
      </c>
    </row>
    <row r="1167" spans="1:10" x14ac:dyDescent="0.25">
      <c r="A1167" t="s">
        <v>1520</v>
      </c>
      <c r="B1167" t="s">
        <v>1521</v>
      </c>
      <c r="C1167" t="s">
        <v>97</v>
      </c>
      <c r="D1167" t="s">
        <v>10</v>
      </c>
      <c r="E1167">
        <v>5</v>
      </c>
      <c r="F1167" t="s">
        <v>11</v>
      </c>
      <c r="G1167">
        <v>15.06</v>
      </c>
      <c r="H1167" t="str" cm="1">
        <f t="array" ref="H1167">_xlfn.XLOOKUP(TRIM(C1167),_xlfn.ANCHORARRAY($L$5),$M$5:$M$18)</f>
        <v>Metro</v>
      </c>
      <c r="I1167" t="str">
        <v>Coca Cola</v>
      </c>
      <c r="J1167">
        <f t="shared" si="23"/>
        <v>5</v>
      </c>
    </row>
    <row r="1168" spans="1:10" x14ac:dyDescent="0.25">
      <c r="A1168" t="s">
        <v>1522</v>
      </c>
      <c r="B1168" t="s">
        <v>1521</v>
      </c>
      <c r="C1168" t="s">
        <v>59</v>
      </c>
      <c r="D1168" t="s">
        <v>14</v>
      </c>
      <c r="E1168">
        <v>5</v>
      </c>
      <c r="F1168" t="s">
        <v>11</v>
      </c>
      <c r="G1168">
        <v>13.53</v>
      </c>
      <c r="H1168" t="str" cm="1">
        <f t="array" ref="H1168">_xlfn.XLOOKUP(TRIM(C1168),_xlfn.ANCHORARRAY($L$5),$M$5:$M$18)</f>
        <v>Metro</v>
      </c>
      <c r="I1168" t="str">
        <v>7up</v>
      </c>
      <c r="J1168">
        <f t="shared" si="23"/>
        <v>5</v>
      </c>
    </row>
    <row r="1169" spans="1:10" x14ac:dyDescent="0.25">
      <c r="A1169" t="s">
        <v>1523</v>
      </c>
      <c r="B1169" t="s">
        <v>1521</v>
      </c>
      <c r="C1169" t="s">
        <v>13</v>
      </c>
      <c r="D1169" t="s">
        <v>16</v>
      </c>
      <c r="E1169">
        <v>6</v>
      </c>
      <c r="F1169" t="s">
        <v>17</v>
      </c>
      <c r="G1169">
        <v>1.25</v>
      </c>
      <c r="H1169" t="str" cm="1">
        <f t="array" ref="H1169">_xlfn.XLOOKUP(TRIM(C1169),_xlfn.ANCHORARRAY($L$5),$M$5:$M$18)</f>
        <v>Metro</v>
      </c>
      <c r="I1169" t="str">
        <v>Sel</v>
      </c>
      <c r="J1169">
        <f t="shared" si="23"/>
        <v>6</v>
      </c>
    </row>
    <row r="1170" spans="1:10" x14ac:dyDescent="0.25">
      <c r="A1170" t="s">
        <v>1524</v>
      </c>
      <c r="B1170" t="s">
        <v>1525</v>
      </c>
      <c r="C1170" t="s">
        <v>32</v>
      </c>
      <c r="D1170" t="s">
        <v>33</v>
      </c>
      <c r="E1170">
        <v>10</v>
      </c>
      <c r="F1170" t="s">
        <v>17</v>
      </c>
      <c r="G1170">
        <v>9.18</v>
      </c>
      <c r="H1170" t="str" cm="1">
        <f t="array" ref="H1170">_xlfn.XLOOKUP(TRIM(C1170),_xlfn.ANCHORARRAY($L$5),$M$5:$M$18)</f>
        <v>B. Halal Pro</v>
      </c>
      <c r="I1170" t="str">
        <v>Viande hachée</v>
      </c>
      <c r="J1170">
        <f t="shared" si="23"/>
        <v>10</v>
      </c>
    </row>
    <row r="1171" spans="1:10" x14ac:dyDescent="0.25">
      <c r="A1171" t="s">
        <v>1526</v>
      </c>
      <c r="B1171" t="s">
        <v>1525</v>
      </c>
      <c r="C1171" t="s">
        <v>66</v>
      </c>
      <c r="D1171" t="s">
        <v>35</v>
      </c>
      <c r="E1171">
        <v>5</v>
      </c>
      <c r="F1171" t="s">
        <v>17</v>
      </c>
      <c r="G1171">
        <v>6.62</v>
      </c>
      <c r="H1171" t="str" cm="1">
        <f t="array" ref="H1171">_xlfn.XLOOKUP(TRIM(C1171),_xlfn.ANCHORARRAY($L$5),$M$5:$M$18)</f>
        <v>B. Halal Pro</v>
      </c>
      <c r="I1171" t="str">
        <v>Poulet émincé</v>
      </c>
      <c r="J1171">
        <f t="shared" si="23"/>
        <v>5</v>
      </c>
    </row>
    <row r="1172" spans="1:10" x14ac:dyDescent="0.25">
      <c r="A1172" t="s">
        <v>1527</v>
      </c>
      <c r="B1172" t="s">
        <v>1525</v>
      </c>
      <c r="C1172" t="s">
        <v>41</v>
      </c>
      <c r="D1172" t="s">
        <v>38</v>
      </c>
      <c r="F1172" t="s">
        <v>39</v>
      </c>
      <c r="G1172">
        <v>5.86</v>
      </c>
      <c r="H1172" t="str" cm="1">
        <f t="array" ref="H1172">_xlfn.XLOOKUP(TRIM(C1172),_xlfn.ANCHORARRAY($L$5),$M$5:$M$18)</f>
        <v>Boul. Express</v>
      </c>
      <c r="I1172" t="str">
        <v>Pain burger</v>
      </c>
      <c r="J1172">
        <f t="shared" si="23"/>
        <v>12</v>
      </c>
    </row>
    <row r="1173" spans="1:10" x14ac:dyDescent="0.25">
      <c r="A1173" t="s">
        <v>1528</v>
      </c>
      <c r="B1173" t="s">
        <v>1525</v>
      </c>
      <c r="C1173" t="s">
        <v>83</v>
      </c>
      <c r="D1173" t="s">
        <v>42</v>
      </c>
      <c r="E1173">
        <v>10</v>
      </c>
      <c r="F1173" t="s">
        <v>43</v>
      </c>
      <c r="G1173">
        <v>3.87</v>
      </c>
      <c r="H1173" t="str" cm="1">
        <f t="array" ref="H1173">_xlfn.XLOOKUP(TRIM(C1173),_xlfn.ANCHORARRAY($L$5),$M$5:$M$18)</f>
        <v>Boul. Express</v>
      </c>
      <c r="I1173" t="str">
        <v>Pain pita</v>
      </c>
      <c r="J1173">
        <f t="shared" si="23"/>
        <v>10</v>
      </c>
    </row>
    <row r="1174" spans="1:10" x14ac:dyDescent="0.25">
      <c r="A1174" t="s">
        <v>1529</v>
      </c>
      <c r="B1174" t="s">
        <v>1530</v>
      </c>
      <c r="C1174" t="s">
        <v>54</v>
      </c>
      <c r="D1174" t="s">
        <v>55</v>
      </c>
      <c r="E1174">
        <v>6</v>
      </c>
      <c r="F1174" t="s">
        <v>17</v>
      </c>
      <c r="G1174">
        <v>9.67</v>
      </c>
      <c r="H1174" t="str" cm="1">
        <f t="array" ref="H1174">_xlfn.XLOOKUP(TRIM(C1174),_xlfn.ANCHORARRAY($L$5),$M$5:$M$18)</f>
        <v>Fromag. Centrale</v>
      </c>
      <c r="I1174" t="str">
        <v>Mozzarella</v>
      </c>
      <c r="J1174">
        <f t="shared" si="23"/>
        <v>6</v>
      </c>
    </row>
    <row r="1175" spans="1:10" x14ac:dyDescent="0.25">
      <c r="A1175" t="s">
        <v>1531</v>
      </c>
      <c r="B1175" t="s">
        <v>1532</v>
      </c>
      <c r="C1175" t="s">
        <v>59</v>
      </c>
      <c r="D1175" t="s">
        <v>10</v>
      </c>
      <c r="E1175">
        <v>5</v>
      </c>
      <c r="F1175" t="s">
        <v>11</v>
      </c>
      <c r="G1175">
        <v>14.17</v>
      </c>
      <c r="H1175" t="str" cm="1">
        <f t="array" ref="H1175">_xlfn.XLOOKUP(TRIM(C1175),_xlfn.ANCHORARRAY($L$5),$M$5:$M$18)</f>
        <v>Metro</v>
      </c>
      <c r="I1175" t="str">
        <v>Coca Cola</v>
      </c>
      <c r="J1175">
        <f t="shared" si="23"/>
        <v>5</v>
      </c>
    </row>
    <row r="1176" spans="1:10" x14ac:dyDescent="0.25">
      <c r="A1176" t="s">
        <v>1533</v>
      </c>
      <c r="B1176" t="s">
        <v>1532</v>
      </c>
      <c r="C1176" t="s">
        <v>61</v>
      </c>
      <c r="D1176" t="s">
        <v>14</v>
      </c>
      <c r="E1176">
        <v>4</v>
      </c>
      <c r="F1176" t="s">
        <v>11</v>
      </c>
      <c r="G1176">
        <v>13.08</v>
      </c>
      <c r="H1176" t="str" cm="1">
        <f t="array" ref="H1176">_xlfn.XLOOKUP(TRIM(C1176),_xlfn.ANCHORARRAY($L$5),$M$5:$M$18)</f>
        <v>Metro</v>
      </c>
      <c r="I1176" t="str">
        <v>7up</v>
      </c>
      <c r="J1176">
        <f t="shared" si="23"/>
        <v>4</v>
      </c>
    </row>
    <row r="1177" spans="1:10" x14ac:dyDescent="0.25">
      <c r="A1177" t="s">
        <v>1534</v>
      </c>
      <c r="B1177" t="s">
        <v>1532</v>
      </c>
      <c r="C1177" t="s">
        <v>9</v>
      </c>
      <c r="D1177" t="s">
        <v>16</v>
      </c>
      <c r="E1177">
        <v>6</v>
      </c>
      <c r="F1177" t="s">
        <v>17</v>
      </c>
      <c r="G1177">
        <v>1.23</v>
      </c>
      <c r="H1177" t="str" cm="1">
        <f t="array" ref="H1177">_xlfn.XLOOKUP(TRIM(C1177),_xlfn.ANCHORARRAY($L$5),$M$5:$M$18)</f>
        <v>Metro</v>
      </c>
      <c r="I1177" t="str">
        <v>Sel</v>
      </c>
      <c r="J1177">
        <f t="shared" si="23"/>
        <v>6</v>
      </c>
    </row>
    <row r="1178" spans="1:10" x14ac:dyDescent="0.25">
      <c r="A1178" t="s">
        <v>1535</v>
      </c>
      <c r="B1178" t="s">
        <v>1532</v>
      </c>
      <c r="C1178" t="s">
        <v>27</v>
      </c>
      <c r="D1178" t="s">
        <v>20</v>
      </c>
      <c r="E1178">
        <v>10</v>
      </c>
      <c r="F1178" t="s">
        <v>21</v>
      </c>
      <c r="G1178">
        <v>4.3899999999999997</v>
      </c>
      <c r="H1178" t="str" cm="1">
        <f t="array" ref="H1178">_xlfn.XLOOKUP(TRIM(C1178),_xlfn.ANCHORARRAY($L$5),$M$5:$M$18)</f>
        <v>LEGUMEX</v>
      </c>
      <c r="I1178" t="str">
        <v>Tomates pelées</v>
      </c>
      <c r="J1178">
        <f t="shared" si="23"/>
        <v>10</v>
      </c>
    </row>
    <row r="1179" spans="1:10" x14ac:dyDescent="0.25">
      <c r="A1179" t="s">
        <v>1536</v>
      </c>
      <c r="B1179" t="s">
        <v>1532</v>
      </c>
      <c r="C1179" t="s">
        <v>27</v>
      </c>
      <c r="D1179" t="s">
        <v>24</v>
      </c>
      <c r="E1179">
        <v>8</v>
      </c>
      <c r="F1179" t="s">
        <v>25</v>
      </c>
      <c r="G1179">
        <v>22.6</v>
      </c>
      <c r="H1179" t="str" cm="1">
        <f t="array" ref="H1179">_xlfn.XLOOKUP(TRIM(C1179),_xlfn.ANCHORARRAY($L$5),$M$5:$M$18)</f>
        <v>LEGUMEX</v>
      </c>
      <c r="I1179" t="str">
        <v>Huile olive</v>
      </c>
      <c r="J1179">
        <f t="shared" si="23"/>
        <v>8</v>
      </c>
    </row>
    <row r="1180" spans="1:10" x14ac:dyDescent="0.25">
      <c r="A1180" t="s">
        <v>1537</v>
      </c>
      <c r="B1180" t="s">
        <v>1532</v>
      </c>
      <c r="C1180" t="s">
        <v>23</v>
      </c>
      <c r="D1180" t="s">
        <v>28</v>
      </c>
      <c r="E1180">
        <v>4</v>
      </c>
      <c r="F1180" t="s">
        <v>29</v>
      </c>
      <c r="G1180">
        <v>9.41</v>
      </c>
      <c r="H1180" t="str" cm="1">
        <f t="array" ref="H1180">_xlfn.XLOOKUP(TRIM(C1180),_xlfn.ANCHORARRAY($L$5),$M$5:$M$18)</f>
        <v>LEGUMEX</v>
      </c>
      <c r="I1180" t="str">
        <v>Sauce tomate</v>
      </c>
      <c r="J1180">
        <f t="shared" si="23"/>
        <v>4</v>
      </c>
    </row>
    <row r="1181" spans="1:10" x14ac:dyDescent="0.25">
      <c r="A1181" t="s">
        <v>1538</v>
      </c>
      <c r="B1181" t="s">
        <v>1539</v>
      </c>
      <c r="C1181" t="s">
        <v>32</v>
      </c>
      <c r="D1181" t="s">
        <v>33</v>
      </c>
      <c r="E1181">
        <v>10</v>
      </c>
      <c r="F1181" t="s">
        <v>17</v>
      </c>
      <c r="G1181">
        <v>9.15</v>
      </c>
      <c r="H1181" t="str" cm="1">
        <f t="array" ref="H1181">_xlfn.XLOOKUP(TRIM(C1181),_xlfn.ANCHORARRAY($L$5),$M$5:$M$18)</f>
        <v>B. Halal Pro</v>
      </c>
      <c r="I1181" t="str">
        <v>Viande hachée</v>
      </c>
      <c r="J1181">
        <f t="shared" si="23"/>
        <v>10</v>
      </c>
    </row>
    <row r="1182" spans="1:10" x14ac:dyDescent="0.25">
      <c r="A1182" t="s">
        <v>1540</v>
      </c>
      <c r="B1182" t="s">
        <v>1539</v>
      </c>
      <c r="C1182" t="s">
        <v>64</v>
      </c>
      <c r="D1182" t="s">
        <v>35</v>
      </c>
      <c r="E1182">
        <v>6</v>
      </c>
      <c r="F1182" t="s">
        <v>17</v>
      </c>
      <c r="G1182">
        <v>7.63</v>
      </c>
      <c r="H1182" t="str" cm="1">
        <f t="array" ref="H1182">_xlfn.XLOOKUP(TRIM(C1182),_xlfn.ANCHORARRAY($L$5),$M$5:$M$18)</f>
        <v>B. Halal Pro</v>
      </c>
      <c r="I1182" t="str">
        <v>Poulet émincé</v>
      </c>
      <c r="J1182">
        <f t="shared" si="23"/>
        <v>6</v>
      </c>
    </row>
    <row r="1183" spans="1:10" x14ac:dyDescent="0.25">
      <c r="A1183" t="s">
        <v>1541</v>
      </c>
      <c r="B1183" t="s">
        <v>1539</v>
      </c>
      <c r="C1183" t="s">
        <v>41</v>
      </c>
      <c r="D1183" t="s">
        <v>38</v>
      </c>
      <c r="E1183">
        <v>12</v>
      </c>
      <c r="F1183" t="s">
        <v>39</v>
      </c>
      <c r="G1183">
        <v>5.9</v>
      </c>
      <c r="H1183" t="str" cm="1">
        <f t="array" ref="H1183">_xlfn.XLOOKUP(TRIM(C1183),_xlfn.ANCHORARRAY($L$5),$M$5:$M$18)</f>
        <v>Boul. Express</v>
      </c>
      <c r="I1183" t="str">
        <v>Pain burger</v>
      </c>
      <c r="J1183">
        <f t="shared" si="23"/>
        <v>12</v>
      </c>
    </row>
    <row r="1184" spans="1:10" x14ac:dyDescent="0.25">
      <c r="A1184" t="s">
        <v>1542</v>
      </c>
      <c r="B1184" t="s">
        <v>1539</v>
      </c>
      <c r="C1184" t="s">
        <v>41</v>
      </c>
      <c r="D1184" t="s">
        <v>42</v>
      </c>
      <c r="E1184">
        <v>8</v>
      </c>
      <c r="F1184" t="s">
        <v>43</v>
      </c>
      <c r="G1184">
        <v>3.9</v>
      </c>
      <c r="H1184" t="str" cm="1">
        <f t="array" ref="H1184">_xlfn.XLOOKUP(TRIM(C1184),_xlfn.ANCHORARRAY($L$5),$M$5:$M$18)</f>
        <v>Boul. Express</v>
      </c>
      <c r="I1184" t="str">
        <v>Pain pita</v>
      </c>
      <c r="J1184">
        <f t="shared" si="23"/>
        <v>8</v>
      </c>
    </row>
    <row r="1185" spans="1:10" x14ac:dyDescent="0.25">
      <c r="A1185" t="s">
        <v>1543</v>
      </c>
      <c r="B1185" t="s">
        <v>1544</v>
      </c>
      <c r="C1185" t="s">
        <v>19</v>
      </c>
      <c r="D1185" t="s">
        <v>20</v>
      </c>
      <c r="E1185">
        <v>10</v>
      </c>
      <c r="F1185" t="s">
        <v>21</v>
      </c>
      <c r="G1185">
        <v>4.07</v>
      </c>
      <c r="H1185" t="str" cm="1">
        <f t="array" ref="H1185">_xlfn.XLOOKUP(TRIM(C1185),_xlfn.ANCHORARRAY($L$5),$M$5:$M$18)</f>
        <v>LEGUMEX</v>
      </c>
      <c r="I1185" t="str">
        <v>Tomates pelées</v>
      </c>
      <c r="J1185">
        <f t="shared" si="23"/>
        <v>10</v>
      </c>
    </row>
    <row r="1186" spans="1:10" x14ac:dyDescent="0.25">
      <c r="A1186" t="s">
        <v>1545</v>
      </c>
      <c r="B1186" t="s">
        <v>1544</v>
      </c>
      <c r="C1186" t="s">
        <v>27</v>
      </c>
      <c r="D1186" t="s">
        <v>24</v>
      </c>
      <c r="E1186">
        <v>8</v>
      </c>
      <c r="F1186" t="s">
        <v>25</v>
      </c>
      <c r="G1186">
        <v>21.54</v>
      </c>
      <c r="H1186" t="str" cm="1">
        <f t="array" ref="H1186">_xlfn.XLOOKUP(TRIM(C1186),_xlfn.ANCHORARRAY($L$5),$M$5:$M$18)</f>
        <v>LEGUMEX</v>
      </c>
      <c r="I1186" t="str">
        <v>Huile olive</v>
      </c>
      <c r="J1186">
        <f t="shared" si="23"/>
        <v>8</v>
      </c>
    </row>
    <row r="1187" spans="1:10" x14ac:dyDescent="0.25">
      <c r="A1187" t="s">
        <v>1546</v>
      </c>
      <c r="B1187" t="s">
        <v>1544</v>
      </c>
      <c r="C1187" t="s">
        <v>19</v>
      </c>
      <c r="D1187" t="s">
        <v>28</v>
      </c>
      <c r="E1187">
        <v>4</v>
      </c>
      <c r="F1187" t="s">
        <v>29</v>
      </c>
      <c r="G1187">
        <v>9.48</v>
      </c>
      <c r="H1187" t="str" cm="1">
        <f t="array" ref="H1187">_xlfn.XLOOKUP(TRIM(C1187),_xlfn.ANCHORARRAY($L$5),$M$5:$M$18)</f>
        <v>LEGUMEX</v>
      </c>
      <c r="I1187" t="str">
        <v>Sauce tomate</v>
      </c>
      <c r="J1187">
        <f t="shared" si="23"/>
        <v>4</v>
      </c>
    </row>
    <row r="1188" spans="1:10" x14ac:dyDescent="0.25">
      <c r="A1188" t="s">
        <v>1547</v>
      </c>
      <c r="B1188" t="s">
        <v>1544</v>
      </c>
      <c r="C1188" t="s">
        <v>90</v>
      </c>
      <c r="D1188" t="s">
        <v>51</v>
      </c>
      <c r="E1188">
        <v>3</v>
      </c>
      <c r="F1188" t="s">
        <v>52</v>
      </c>
      <c r="G1188">
        <v>18.670000000000002</v>
      </c>
      <c r="H1188" t="str" cm="1">
        <f t="array" ref="H1188">_xlfn.XLOOKUP(TRIM(C1188),_xlfn.ANCHORARRAY($L$5),$M$5:$M$18)</f>
        <v>Moulin du Nord</v>
      </c>
      <c r="I1188" t="str">
        <v>Farine</v>
      </c>
      <c r="J1188">
        <f t="shared" si="23"/>
        <v>3</v>
      </c>
    </row>
    <row r="1189" spans="1:10" x14ac:dyDescent="0.25">
      <c r="A1189" t="s">
        <v>1548</v>
      </c>
      <c r="B1189" t="s">
        <v>1544</v>
      </c>
      <c r="C1189" t="s">
        <v>195</v>
      </c>
      <c r="D1189" t="s">
        <v>55</v>
      </c>
      <c r="E1189">
        <v>6</v>
      </c>
      <c r="F1189" t="s">
        <v>17</v>
      </c>
      <c r="G1189">
        <v>9.4700000000000006</v>
      </c>
      <c r="H1189" t="str" cm="1">
        <f t="array" ref="H1189">_xlfn.XLOOKUP(TRIM(C1189),_xlfn.ANCHORARRAY($L$5),$M$5:$M$18)</f>
        <v>Fromag. Centrale</v>
      </c>
      <c r="I1189" t="str">
        <v>Mozzarella</v>
      </c>
      <c r="J1189">
        <f t="shared" si="23"/>
        <v>6</v>
      </c>
    </row>
    <row r="1190" spans="1:10" x14ac:dyDescent="0.25">
      <c r="A1190" t="s">
        <v>1549</v>
      </c>
      <c r="B1190" t="s">
        <v>1550</v>
      </c>
      <c r="C1190" t="s">
        <v>59</v>
      </c>
      <c r="D1190" t="s">
        <v>10</v>
      </c>
      <c r="E1190">
        <v>4</v>
      </c>
      <c r="F1190" t="s">
        <v>11</v>
      </c>
      <c r="G1190">
        <v>14.6</v>
      </c>
      <c r="H1190" t="str" cm="1">
        <f t="array" ref="H1190">_xlfn.XLOOKUP(TRIM(C1190),_xlfn.ANCHORARRAY($L$5),$M$5:$M$18)</f>
        <v>Metro</v>
      </c>
      <c r="I1190" t="str">
        <v>Coca Cola</v>
      </c>
      <c r="J1190">
        <f t="shared" si="23"/>
        <v>4</v>
      </c>
    </row>
    <row r="1191" spans="1:10" x14ac:dyDescent="0.25">
      <c r="A1191" t="s">
        <v>1551</v>
      </c>
      <c r="B1191" t="s">
        <v>1550</v>
      </c>
      <c r="C1191" t="s">
        <v>13</v>
      </c>
      <c r="D1191" t="s">
        <v>14</v>
      </c>
      <c r="E1191">
        <v>4</v>
      </c>
      <c r="F1191" t="s">
        <v>11</v>
      </c>
      <c r="G1191">
        <v>13.09</v>
      </c>
      <c r="H1191" t="str" cm="1">
        <f t="array" ref="H1191">_xlfn.XLOOKUP(TRIM(C1191),_xlfn.ANCHORARRAY($L$5),$M$5:$M$18)</f>
        <v>Metro</v>
      </c>
      <c r="I1191" t="str">
        <v>7up</v>
      </c>
      <c r="J1191">
        <f t="shared" si="23"/>
        <v>4</v>
      </c>
    </row>
    <row r="1192" spans="1:10" x14ac:dyDescent="0.25">
      <c r="A1192" t="s">
        <v>1552</v>
      </c>
      <c r="B1192" t="s">
        <v>1550</v>
      </c>
      <c r="C1192" t="s">
        <v>59</v>
      </c>
      <c r="D1192" t="s">
        <v>16</v>
      </c>
      <c r="E1192">
        <v>5</v>
      </c>
      <c r="F1192" t="s">
        <v>17</v>
      </c>
      <c r="G1192">
        <v>1.24</v>
      </c>
      <c r="H1192" t="str" cm="1">
        <f t="array" ref="H1192">_xlfn.XLOOKUP(TRIM(C1192),_xlfn.ANCHORARRAY($L$5),$M$5:$M$18)</f>
        <v>Metro</v>
      </c>
      <c r="I1192" t="str">
        <v>Sel</v>
      </c>
      <c r="J1192">
        <f t="shared" si="23"/>
        <v>5</v>
      </c>
    </row>
    <row r="1193" spans="1:10" x14ac:dyDescent="0.25">
      <c r="A1193" t="s">
        <v>1553</v>
      </c>
      <c r="B1193" t="s">
        <v>1554</v>
      </c>
      <c r="C1193" t="s">
        <v>64</v>
      </c>
      <c r="D1193" t="s">
        <v>33</v>
      </c>
      <c r="E1193">
        <v>10</v>
      </c>
      <c r="F1193" t="s">
        <v>17</v>
      </c>
      <c r="G1193">
        <v>9.89</v>
      </c>
      <c r="H1193" t="str" cm="1">
        <f t="array" ref="H1193">_xlfn.XLOOKUP(TRIM(C1193),_xlfn.ANCHORARRAY($L$5),$M$5:$M$18)</f>
        <v>B. Halal Pro</v>
      </c>
      <c r="I1193" t="str">
        <v>Viande hachée</v>
      </c>
      <c r="J1193">
        <f t="shared" si="23"/>
        <v>10</v>
      </c>
    </row>
    <row r="1194" spans="1:10" x14ac:dyDescent="0.25">
      <c r="A1194" t="s">
        <v>1555</v>
      </c>
      <c r="B1194" t="s">
        <v>1554</v>
      </c>
      <c r="C1194" t="s">
        <v>100</v>
      </c>
      <c r="D1194" t="s">
        <v>35</v>
      </c>
      <c r="E1194">
        <v>12</v>
      </c>
      <c r="F1194" t="s">
        <v>17</v>
      </c>
      <c r="G1194">
        <v>6.99</v>
      </c>
      <c r="H1194" t="str" cm="1">
        <f t="array" ref="H1194">_xlfn.XLOOKUP(TRIM(C1194),_xlfn.ANCHORARRAY($L$5),$M$5:$M$18)</f>
        <v>B. Halal Pro</v>
      </c>
      <c r="I1194" t="str">
        <v>Poulet émincé</v>
      </c>
      <c r="J1194">
        <f t="shared" si="23"/>
        <v>12</v>
      </c>
    </row>
    <row r="1195" spans="1:10" x14ac:dyDescent="0.25">
      <c r="A1195" t="s">
        <v>1556</v>
      </c>
      <c r="B1195" t="s">
        <v>1554</v>
      </c>
      <c r="C1195" t="s">
        <v>37</v>
      </c>
      <c r="D1195" t="s">
        <v>38</v>
      </c>
      <c r="E1195">
        <v>10</v>
      </c>
      <c r="F1195" t="s">
        <v>39</v>
      </c>
      <c r="G1195">
        <v>5.74</v>
      </c>
      <c r="H1195" t="str" cm="1">
        <f t="array" ref="H1195">_xlfn.XLOOKUP(TRIM(C1195),_xlfn.ANCHORARRAY($L$5),$M$5:$M$18)</f>
        <v>Boul. Express</v>
      </c>
      <c r="I1195" t="str">
        <v>Pain burger</v>
      </c>
      <c r="J1195">
        <f t="shared" si="23"/>
        <v>10</v>
      </c>
    </row>
    <row r="1196" spans="1:10" x14ac:dyDescent="0.25">
      <c r="A1196" t="s">
        <v>1557</v>
      </c>
      <c r="B1196" t="s">
        <v>1554</v>
      </c>
      <c r="C1196" t="s">
        <v>69</v>
      </c>
      <c r="D1196" t="s">
        <v>42</v>
      </c>
      <c r="E1196">
        <v>12</v>
      </c>
      <c r="F1196" t="s">
        <v>43</v>
      </c>
      <c r="G1196">
        <v>3.97</v>
      </c>
      <c r="H1196" t="str" cm="1">
        <f t="array" ref="H1196">_xlfn.XLOOKUP(TRIM(C1196),_xlfn.ANCHORARRAY($L$5),$M$5:$M$18)</f>
        <v>Boul. Express</v>
      </c>
      <c r="I1196" t="str">
        <v>Pain pita</v>
      </c>
      <c r="J1196">
        <f t="shared" si="23"/>
        <v>12</v>
      </c>
    </row>
    <row r="1197" spans="1:10" x14ac:dyDescent="0.25">
      <c r="A1197" t="s">
        <v>1558</v>
      </c>
      <c r="B1197" t="s">
        <v>1559</v>
      </c>
      <c r="C1197" t="s">
        <v>92</v>
      </c>
      <c r="D1197" t="s">
        <v>55</v>
      </c>
      <c r="E1197">
        <v>8</v>
      </c>
      <c r="F1197" t="s">
        <v>17</v>
      </c>
      <c r="G1197">
        <v>8.65</v>
      </c>
      <c r="H1197" t="str" cm="1">
        <f t="array" ref="H1197">_xlfn.XLOOKUP(TRIM(C1197),_xlfn.ANCHORARRAY($L$5),$M$5:$M$18)</f>
        <v>Fromag. Centrale</v>
      </c>
      <c r="I1197" t="str">
        <v>Mozzarella</v>
      </c>
      <c r="J1197">
        <f t="shared" si="23"/>
        <v>8</v>
      </c>
    </row>
    <row r="1198" spans="1:10" x14ac:dyDescent="0.25">
      <c r="A1198" t="s">
        <v>1560</v>
      </c>
      <c r="B1198" t="s">
        <v>1561</v>
      </c>
      <c r="C1198" t="s">
        <v>9</v>
      </c>
      <c r="D1198" t="s">
        <v>10</v>
      </c>
      <c r="E1198">
        <v>3</v>
      </c>
      <c r="F1198" t="s">
        <v>11</v>
      </c>
      <c r="G1198">
        <v>14.93</v>
      </c>
      <c r="H1198" t="str" cm="1">
        <f t="array" ref="H1198">_xlfn.XLOOKUP(TRIM(C1198),_xlfn.ANCHORARRAY($L$5),$M$5:$M$18)</f>
        <v>Metro</v>
      </c>
      <c r="I1198" t="str">
        <v>Coca Cola</v>
      </c>
      <c r="J1198">
        <f t="shared" si="23"/>
        <v>3</v>
      </c>
    </row>
    <row r="1199" spans="1:10" x14ac:dyDescent="0.25">
      <c r="A1199" t="s">
        <v>1562</v>
      </c>
      <c r="B1199" t="s">
        <v>1561</v>
      </c>
      <c r="C1199" t="s">
        <v>61</v>
      </c>
      <c r="D1199" t="s">
        <v>14</v>
      </c>
      <c r="E1199">
        <v>4</v>
      </c>
      <c r="F1199" t="s">
        <v>11</v>
      </c>
      <c r="G1199">
        <v>13.84</v>
      </c>
      <c r="H1199" t="str" cm="1">
        <f t="array" ref="H1199">_xlfn.XLOOKUP(TRIM(C1199),_xlfn.ANCHORARRAY($L$5),$M$5:$M$18)</f>
        <v>Metro</v>
      </c>
      <c r="I1199" t="str">
        <v>7up</v>
      </c>
      <c r="J1199">
        <f t="shared" si="23"/>
        <v>4</v>
      </c>
    </row>
    <row r="1200" spans="1:10" x14ac:dyDescent="0.25">
      <c r="A1200" t="s">
        <v>1563</v>
      </c>
      <c r="B1200" t="s">
        <v>1561</v>
      </c>
      <c r="C1200" t="s">
        <v>9</v>
      </c>
      <c r="D1200" t="s">
        <v>16</v>
      </c>
      <c r="E1200">
        <v>5</v>
      </c>
      <c r="F1200" t="s">
        <v>17</v>
      </c>
      <c r="G1200">
        <v>1.24</v>
      </c>
      <c r="H1200" t="str" cm="1">
        <f t="array" ref="H1200">_xlfn.XLOOKUP(TRIM(C1200),_xlfn.ANCHORARRAY($L$5),$M$5:$M$18)</f>
        <v>Metro</v>
      </c>
      <c r="I1200" t="str">
        <v>Sel</v>
      </c>
      <c r="J1200">
        <f t="shared" si="23"/>
        <v>5</v>
      </c>
    </row>
    <row r="1201" spans="1:10" x14ac:dyDescent="0.25">
      <c r="A1201" t="s">
        <v>1564</v>
      </c>
      <c r="B1201" t="s">
        <v>1561</v>
      </c>
      <c r="C1201" t="s">
        <v>23</v>
      </c>
      <c r="D1201" t="s">
        <v>20</v>
      </c>
      <c r="E1201">
        <v>8</v>
      </c>
      <c r="F1201" t="s">
        <v>21</v>
      </c>
      <c r="G1201">
        <v>4.25</v>
      </c>
      <c r="H1201" t="str" cm="1">
        <f t="array" ref="H1201">_xlfn.XLOOKUP(TRIM(C1201),_xlfn.ANCHORARRAY($L$5),$M$5:$M$18)</f>
        <v>LEGUMEX</v>
      </c>
      <c r="I1201" t="str">
        <v>Tomates pelées</v>
      </c>
      <c r="J1201">
        <f t="shared" si="23"/>
        <v>8</v>
      </c>
    </row>
    <row r="1202" spans="1:10" x14ac:dyDescent="0.25">
      <c r="A1202" t="s">
        <v>1565</v>
      </c>
      <c r="B1202" t="s">
        <v>1561</v>
      </c>
      <c r="C1202" t="s">
        <v>19</v>
      </c>
      <c r="D1202" t="s">
        <v>24</v>
      </c>
      <c r="E1202">
        <v>8</v>
      </c>
      <c r="F1202" t="s">
        <v>25</v>
      </c>
      <c r="G1202">
        <v>21.48</v>
      </c>
      <c r="H1202" t="str" cm="1">
        <f t="array" ref="H1202">_xlfn.XLOOKUP(TRIM(C1202),_xlfn.ANCHORARRAY($L$5),$M$5:$M$18)</f>
        <v>LEGUMEX</v>
      </c>
      <c r="I1202" t="str">
        <v>Huile olive</v>
      </c>
      <c r="J1202">
        <f t="shared" si="23"/>
        <v>8</v>
      </c>
    </row>
    <row r="1203" spans="1:10" x14ac:dyDescent="0.25">
      <c r="A1203" t="s">
        <v>1566</v>
      </c>
      <c r="B1203" t="s">
        <v>1561</v>
      </c>
      <c r="C1203" t="s">
        <v>19</v>
      </c>
      <c r="D1203" t="s">
        <v>28</v>
      </c>
      <c r="E1203">
        <v>4</v>
      </c>
      <c r="F1203" t="s">
        <v>29</v>
      </c>
      <c r="G1203">
        <v>10.199999999999999</v>
      </c>
      <c r="H1203" t="str" cm="1">
        <f t="array" ref="H1203">_xlfn.XLOOKUP(TRIM(C1203),_xlfn.ANCHORARRAY($L$5),$M$5:$M$18)</f>
        <v>LEGUMEX</v>
      </c>
      <c r="I1203" t="str">
        <v>Sauce tomate</v>
      </c>
      <c r="J1203">
        <f t="shared" si="23"/>
        <v>4</v>
      </c>
    </row>
    <row r="1204" spans="1:10" x14ac:dyDescent="0.25">
      <c r="A1204" t="s">
        <v>1567</v>
      </c>
      <c r="B1204" t="s">
        <v>1568</v>
      </c>
      <c r="C1204" t="s">
        <v>64</v>
      </c>
      <c r="D1204" t="s">
        <v>33</v>
      </c>
      <c r="E1204">
        <v>5</v>
      </c>
      <c r="F1204" t="s">
        <v>17</v>
      </c>
      <c r="G1204">
        <v>8.94</v>
      </c>
      <c r="H1204" t="str" cm="1">
        <f t="array" ref="H1204">_xlfn.XLOOKUP(TRIM(C1204),_xlfn.ANCHORARRAY($L$5),$M$5:$M$18)</f>
        <v>B. Halal Pro</v>
      </c>
      <c r="I1204" t="str">
        <v>Viande hachée</v>
      </c>
      <c r="J1204">
        <f t="shared" si="23"/>
        <v>5</v>
      </c>
    </row>
    <row r="1205" spans="1:10" x14ac:dyDescent="0.25">
      <c r="A1205" t="s">
        <v>1569</v>
      </c>
      <c r="B1205" t="s">
        <v>1568</v>
      </c>
      <c r="C1205" t="s">
        <v>32</v>
      </c>
      <c r="D1205" t="s">
        <v>35</v>
      </c>
      <c r="E1205">
        <v>5</v>
      </c>
      <c r="F1205" t="s">
        <v>17</v>
      </c>
      <c r="G1205">
        <v>6.69</v>
      </c>
      <c r="H1205" t="str" cm="1">
        <f t="array" ref="H1205">_xlfn.XLOOKUP(TRIM(C1205),_xlfn.ANCHORARRAY($L$5),$M$5:$M$18)</f>
        <v>B. Halal Pro</v>
      </c>
      <c r="I1205" t="str">
        <v>Poulet émincé</v>
      </c>
      <c r="J1205">
        <f t="shared" si="23"/>
        <v>5</v>
      </c>
    </row>
    <row r="1206" spans="1:10" x14ac:dyDescent="0.25">
      <c r="A1206" t="s">
        <v>1570</v>
      </c>
      <c r="B1206" t="s">
        <v>1568</v>
      </c>
      <c r="C1206" t="s">
        <v>37</v>
      </c>
      <c r="D1206" t="s">
        <v>38</v>
      </c>
      <c r="E1206">
        <v>10</v>
      </c>
      <c r="F1206" t="s">
        <v>39</v>
      </c>
      <c r="G1206">
        <v>5.91</v>
      </c>
      <c r="H1206" t="str" cm="1">
        <f t="array" ref="H1206">_xlfn.XLOOKUP(TRIM(C1206),_xlfn.ANCHORARRAY($L$5),$M$5:$M$18)</f>
        <v>Boul. Express</v>
      </c>
      <c r="I1206" t="str">
        <v>Pain burger</v>
      </c>
      <c r="J1206">
        <f t="shared" si="23"/>
        <v>10</v>
      </c>
    </row>
    <row r="1207" spans="1:10" x14ac:dyDescent="0.25">
      <c r="A1207" t="s">
        <v>1571</v>
      </c>
      <c r="B1207" t="s">
        <v>1568</v>
      </c>
      <c r="C1207" t="s">
        <v>41</v>
      </c>
      <c r="D1207" t="s">
        <v>42</v>
      </c>
      <c r="E1207">
        <v>12</v>
      </c>
      <c r="F1207" t="s">
        <v>43</v>
      </c>
      <c r="G1207">
        <v>3.89</v>
      </c>
      <c r="H1207" t="str" cm="1">
        <f t="array" ref="H1207">_xlfn.XLOOKUP(TRIM(C1207),_xlfn.ANCHORARRAY($L$5),$M$5:$M$18)</f>
        <v>Boul. Express</v>
      </c>
      <c r="I1207" t="str">
        <v>Pain pita</v>
      </c>
      <c r="J1207">
        <f t="shared" si="23"/>
        <v>12</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207"/>
  <sheetViews>
    <sheetView topLeftCell="A25" zoomScale="85" zoomScaleNormal="85" workbookViewId="0">
      <selection activeCell="G8" sqref="G8"/>
    </sheetView>
  </sheetViews>
  <sheetFormatPr defaultColWidth="8.7109375" defaultRowHeight="15" x14ac:dyDescent="0.25"/>
  <cols>
    <col min="1" max="1" width="12.5703125" customWidth="1"/>
    <col min="2" max="2" width="10.42578125" customWidth="1"/>
    <col min="3" max="3" width="17.140625" customWidth="1"/>
    <col min="4" max="4" width="19.42578125" customWidth="1"/>
    <col min="5" max="5" width="18.7109375" bestFit="1" customWidth="1"/>
    <col min="6" max="6" width="17.42578125" customWidth="1"/>
    <col min="7" max="7" width="10.7109375" bestFit="1" customWidth="1"/>
    <col min="8" max="8" width="18.140625" customWidth="1"/>
    <col min="12" max="12" width="19.28515625" bestFit="1" customWidth="1"/>
    <col min="13" max="13" width="13.28515625" bestFit="1" customWidth="1"/>
    <col min="14" max="14" width="16.28515625" bestFit="1" customWidth="1"/>
    <col min="15" max="15" width="9.7109375" bestFit="1" customWidth="1"/>
    <col min="16" max="16" width="17.28515625" customWidth="1"/>
    <col min="17" max="18" width="10.7109375" bestFit="1" customWidth="1"/>
    <col min="19" max="19" width="11.140625" bestFit="1" customWidth="1"/>
    <col min="20" max="20" width="9.7109375" bestFit="1" customWidth="1"/>
    <col min="21" max="21" width="14" bestFit="1" customWidth="1"/>
    <col min="22" max="22" width="13.140625" bestFit="1" customWidth="1"/>
    <col min="23" max="23" width="8.140625" bestFit="1" customWidth="1"/>
    <col min="24" max="24" width="15.140625" bestFit="1" customWidth="1"/>
    <col min="25" max="25" width="14.28515625" bestFit="1" customWidth="1"/>
    <col min="26" max="26" width="11.28515625" bestFit="1" customWidth="1"/>
    <col min="27" max="27" width="9.42578125" bestFit="1" customWidth="1"/>
    <col min="28" max="28" width="8" bestFit="1" customWidth="1"/>
    <col min="29" max="29" width="10.5703125" bestFit="1" customWidth="1"/>
    <col min="30" max="30" width="10.7109375" bestFit="1" customWidth="1"/>
    <col min="31" max="31" width="11.140625" bestFit="1" customWidth="1"/>
    <col min="33" max="33" width="14" bestFit="1" customWidth="1"/>
    <col min="34" max="34" width="13.140625" bestFit="1" customWidth="1"/>
    <col min="35" max="35" width="6" bestFit="1" customWidth="1"/>
    <col min="36" max="36" width="15.140625" bestFit="1" customWidth="1"/>
    <col min="37" max="37" width="14.28515625" bestFit="1" customWidth="1"/>
    <col min="38" max="38" width="27.28515625" bestFit="1" customWidth="1"/>
    <col min="39" max="39" width="17.7109375" bestFit="1" customWidth="1"/>
  </cols>
  <sheetData>
    <row r="1" spans="1:16" x14ac:dyDescent="0.25">
      <c r="A1" t="s">
        <v>0</v>
      </c>
      <c r="B1" t="s">
        <v>1</v>
      </c>
      <c r="C1" t="s">
        <v>1593</v>
      </c>
      <c r="D1" t="s">
        <v>1574</v>
      </c>
      <c r="E1" t="s">
        <v>1576</v>
      </c>
      <c r="F1" t="s">
        <v>1614</v>
      </c>
      <c r="G1" t="s">
        <v>5</v>
      </c>
      <c r="H1" t="s">
        <v>6</v>
      </c>
      <c r="I1" t="s">
        <v>1610</v>
      </c>
    </row>
    <row r="2" spans="1:16" x14ac:dyDescent="0.25">
      <c r="A2" t="s">
        <v>7</v>
      </c>
      <c r="B2" t="s">
        <v>8</v>
      </c>
      <c r="C2" s="2" t="str">
        <f t="shared" ref="C2:C65" si="0">TEXT(DATE(2024,MID(B2,4,2),_xlfn.TEXTBEFORE(B2,"/",1)),"mmmm")</f>
        <v>janvier</v>
      </c>
      <c r="D2" t="s">
        <v>61</v>
      </c>
      <c r="E2" t="s">
        <v>1577</v>
      </c>
      <c r="F2">
        <v>3</v>
      </c>
      <c r="G2" t="s">
        <v>11</v>
      </c>
      <c r="H2">
        <v>14.93</v>
      </c>
      <c r="I2">
        <f>Table1[[#This Row],[Quantité corrigé]]*Table1[[#This Row],[Prix_Unitaire_HT]]</f>
        <v>44.79</v>
      </c>
    </row>
    <row r="3" spans="1:16" x14ac:dyDescent="0.25">
      <c r="A3" t="s">
        <v>12</v>
      </c>
      <c r="B3" t="s">
        <v>8</v>
      </c>
      <c r="C3" s="5" t="str">
        <f t="shared" si="0"/>
        <v>janvier</v>
      </c>
      <c r="D3" t="s">
        <v>61</v>
      </c>
      <c r="E3" t="s">
        <v>1578</v>
      </c>
      <c r="F3">
        <v>3</v>
      </c>
      <c r="G3" t="s">
        <v>11</v>
      </c>
      <c r="H3">
        <v>13.61</v>
      </c>
      <c r="I3">
        <f>Table1[[#This Row],[Quantité corrigé]]*Table1[[#This Row],[Prix_Unitaire_HT]]</f>
        <v>40.83</v>
      </c>
    </row>
    <row r="4" spans="1:16" x14ac:dyDescent="0.25">
      <c r="A4" t="s">
        <v>15</v>
      </c>
      <c r="B4" t="s">
        <v>8</v>
      </c>
      <c r="C4" s="2" t="str">
        <f t="shared" si="0"/>
        <v>janvier</v>
      </c>
      <c r="D4" t="s">
        <v>61</v>
      </c>
      <c r="E4" t="s">
        <v>1579</v>
      </c>
      <c r="F4">
        <v>6</v>
      </c>
      <c r="G4" t="s">
        <v>17</v>
      </c>
      <c r="H4">
        <v>1.17</v>
      </c>
      <c r="I4">
        <f>Table1[[#This Row],[Quantité corrigé]]*Table1[[#This Row],[Prix_Unitaire_HT]]</f>
        <v>7.02</v>
      </c>
    </row>
    <row r="5" spans="1:16" x14ac:dyDescent="0.25">
      <c r="A5" t="s">
        <v>18</v>
      </c>
      <c r="B5" t="s">
        <v>8</v>
      </c>
      <c r="C5" s="2" t="str">
        <f t="shared" si="0"/>
        <v>janvier</v>
      </c>
      <c r="D5" t="s">
        <v>19</v>
      </c>
      <c r="E5" t="s">
        <v>1580</v>
      </c>
      <c r="F5">
        <v>4</v>
      </c>
      <c r="G5" t="s">
        <v>21</v>
      </c>
      <c r="H5">
        <v>4.2699999999999996</v>
      </c>
      <c r="I5">
        <f>Table1[[#This Row],[Quantité corrigé]]*Table1[[#This Row],[Prix_Unitaire_HT]]</f>
        <v>17.079999999999998</v>
      </c>
    </row>
    <row r="6" spans="1:16" x14ac:dyDescent="0.25">
      <c r="A6" t="s">
        <v>22</v>
      </c>
      <c r="B6" t="s">
        <v>8</v>
      </c>
      <c r="C6" s="2" t="str">
        <f t="shared" si="0"/>
        <v>janvier</v>
      </c>
      <c r="D6" t="s">
        <v>19</v>
      </c>
      <c r="E6" t="s">
        <v>1581</v>
      </c>
      <c r="F6">
        <v>8</v>
      </c>
      <c r="G6" t="s">
        <v>25</v>
      </c>
      <c r="H6">
        <v>21.53</v>
      </c>
      <c r="I6">
        <f>Table1[[#This Row],[Quantité corrigé]]*Table1[[#This Row],[Prix_Unitaire_HT]]</f>
        <v>172.24</v>
      </c>
    </row>
    <row r="7" spans="1:16" x14ac:dyDescent="0.25">
      <c r="A7" t="s">
        <v>26</v>
      </c>
      <c r="B7" t="s">
        <v>8</v>
      </c>
      <c r="C7" s="2" t="str">
        <f t="shared" si="0"/>
        <v>janvier</v>
      </c>
      <c r="D7" t="s">
        <v>19</v>
      </c>
      <c r="E7" t="s">
        <v>1582</v>
      </c>
      <c r="F7">
        <v>6</v>
      </c>
      <c r="G7" t="s">
        <v>29</v>
      </c>
      <c r="H7">
        <v>10.28</v>
      </c>
      <c r="I7">
        <f>Table1[[#This Row],[Quantité corrigé]]*Table1[[#This Row],[Prix_Unitaire_HT]]</f>
        <v>61.679999999999993</v>
      </c>
      <c r="M7" t="s">
        <v>1592</v>
      </c>
    </row>
    <row r="8" spans="1:16" x14ac:dyDescent="0.25">
      <c r="A8" t="s">
        <v>30</v>
      </c>
      <c r="B8" t="s">
        <v>31</v>
      </c>
      <c r="C8" s="2" t="str">
        <f t="shared" si="0"/>
        <v>janvier</v>
      </c>
      <c r="D8" t="s">
        <v>66</v>
      </c>
      <c r="E8" t="s">
        <v>1583</v>
      </c>
      <c r="F8">
        <v>6</v>
      </c>
      <c r="G8" t="s">
        <v>17</v>
      </c>
      <c r="H8">
        <v>8.99</v>
      </c>
      <c r="I8">
        <f>Table1[[#This Row],[Quantité corrigé]]*Table1[[#This Row],[Prix_Unitaire_HT]]</f>
        <v>53.94</v>
      </c>
      <c r="N8" t="s">
        <v>1590</v>
      </c>
      <c r="O8" t="s">
        <v>1589</v>
      </c>
      <c r="P8" t="s">
        <v>1591</v>
      </c>
    </row>
    <row r="9" spans="1:16" x14ac:dyDescent="0.25">
      <c r="A9" t="s">
        <v>34</v>
      </c>
      <c r="B9" t="s">
        <v>31</v>
      </c>
      <c r="C9" s="2" t="str">
        <f t="shared" si="0"/>
        <v>janvier</v>
      </c>
      <c r="D9" t="s">
        <v>66</v>
      </c>
      <c r="E9" t="s">
        <v>1584</v>
      </c>
      <c r="F9">
        <v>10</v>
      </c>
      <c r="G9" t="s">
        <v>17</v>
      </c>
      <c r="H9">
        <v>6.74</v>
      </c>
      <c r="I9">
        <f>Table1[[#This Row],[Quantité corrigé]]*Table1[[#This Row],[Prix_Unitaire_HT]]</f>
        <v>67.400000000000006</v>
      </c>
      <c r="M9" t="s">
        <v>1578</v>
      </c>
      <c r="N9" s="1">
        <v>12.85</v>
      </c>
      <c r="O9" s="1">
        <v>13.98</v>
      </c>
      <c r="P9" s="1">
        <v>13.412190476190485</v>
      </c>
    </row>
    <row r="10" spans="1:16" x14ac:dyDescent="0.25">
      <c r="A10" t="s">
        <v>36</v>
      </c>
      <c r="B10" t="s">
        <v>31</v>
      </c>
      <c r="C10" s="2" t="str">
        <f t="shared" si="0"/>
        <v>janvier</v>
      </c>
      <c r="D10" t="s">
        <v>69</v>
      </c>
      <c r="E10" t="s">
        <v>1585</v>
      </c>
      <c r="F10">
        <v>5</v>
      </c>
      <c r="G10" t="s">
        <v>39</v>
      </c>
      <c r="H10">
        <v>5.89</v>
      </c>
      <c r="I10">
        <f>Table1[[#This Row],[Quantité corrigé]]*Table1[[#This Row],[Prix_Unitaire_HT]]</f>
        <v>29.45</v>
      </c>
      <c r="M10" t="s">
        <v>1577</v>
      </c>
      <c r="N10" s="1">
        <v>13.98</v>
      </c>
      <c r="O10" s="1">
        <v>15.25</v>
      </c>
      <c r="P10" s="1">
        <v>14.583142857142864</v>
      </c>
    </row>
    <row r="11" spans="1:16" x14ac:dyDescent="0.25">
      <c r="A11" t="s">
        <v>40</v>
      </c>
      <c r="B11" t="s">
        <v>31</v>
      </c>
      <c r="C11" s="2" t="str">
        <f t="shared" si="0"/>
        <v>janvier</v>
      </c>
      <c r="D11" t="s">
        <v>69</v>
      </c>
      <c r="E11" t="s">
        <v>1586</v>
      </c>
      <c r="F11">
        <v>12</v>
      </c>
      <c r="G11" t="s">
        <v>43</v>
      </c>
      <c r="H11">
        <v>4.05</v>
      </c>
      <c r="I11">
        <f>Table1[[#This Row],[Quantité corrigé]]*Table1[[#This Row],[Prix_Unitaire_HT]]</f>
        <v>48.599999999999994</v>
      </c>
      <c r="M11" t="s">
        <v>1587</v>
      </c>
      <c r="N11" s="1">
        <v>17.82</v>
      </c>
      <c r="O11" s="1">
        <v>19.38</v>
      </c>
      <c r="P11" s="1">
        <v>18.60173076923077</v>
      </c>
    </row>
    <row r="12" spans="1:16" x14ac:dyDescent="0.25">
      <c r="A12" t="s">
        <v>44</v>
      </c>
      <c r="B12" t="s">
        <v>45</v>
      </c>
      <c r="C12" s="2" t="str">
        <f t="shared" si="0"/>
        <v>janvier</v>
      </c>
      <c r="D12" t="s">
        <v>19</v>
      </c>
      <c r="E12" t="s">
        <v>1580</v>
      </c>
      <c r="F12">
        <v>8</v>
      </c>
      <c r="G12" t="s">
        <v>21</v>
      </c>
      <c r="H12">
        <v>4.4400000000000004</v>
      </c>
      <c r="I12">
        <f>Table1[[#This Row],[Quantité corrigé]]*Table1[[#This Row],[Prix_Unitaire_HT]]</f>
        <v>35.520000000000003</v>
      </c>
      <c r="M12" t="s">
        <v>1581</v>
      </c>
      <c r="N12" s="1">
        <v>20.94</v>
      </c>
      <c r="O12" s="1">
        <v>23.69</v>
      </c>
      <c r="P12" s="1">
        <v>22.337809523809522</v>
      </c>
    </row>
    <row r="13" spans="1:16" x14ac:dyDescent="0.25">
      <c r="A13" t="s">
        <v>47</v>
      </c>
      <c r="B13" t="s">
        <v>45</v>
      </c>
      <c r="C13" s="2" t="str">
        <f t="shared" si="0"/>
        <v>janvier</v>
      </c>
      <c r="D13" t="s">
        <v>19</v>
      </c>
      <c r="E13" t="s">
        <v>1581</v>
      </c>
      <c r="F13">
        <v>6</v>
      </c>
      <c r="G13" t="s">
        <v>25</v>
      </c>
      <c r="H13">
        <v>21.03</v>
      </c>
      <c r="I13">
        <f>Table1[[#This Row],[Quantité corrigé]]*Table1[[#This Row],[Prix_Unitaire_HT]]</f>
        <v>126.18</v>
      </c>
      <c r="M13" t="s">
        <v>1588</v>
      </c>
      <c r="N13" s="1">
        <v>8.4</v>
      </c>
      <c r="O13" s="1">
        <v>9.7799999999999994</v>
      </c>
      <c r="P13" s="1">
        <v>9.0354807692307713</v>
      </c>
    </row>
    <row r="14" spans="1:16" x14ac:dyDescent="0.25">
      <c r="A14" t="s">
        <v>48</v>
      </c>
      <c r="B14" t="s">
        <v>45</v>
      </c>
      <c r="C14" s="2" t="str">
        <f t="shared" si="0"/>
        <v>janvier</v>
      </c>
      <c r="D14" t="s">
        <v>19</v>
      </c>
      <c r="E14" t="s">
        <v>1582</v>
      </c>
      <c r="F14">
        <v>4</v>
      </c>
      <c r="G14" t="s">
        <v>29</v>
      </c>
      <c r="H14">
        <v>10.4</v>
      </c>
      <c r="I14">
        <f>Table1[[#This Row],[Quantité corrigé]]*Table1[[#This Row],[Prix_Unitaire_HT]]</f>
        <v>41.6</v>
      </c>
      <c r="M14" t="s">
        <v>1585</v>
      </c>
      <c r="N14" s="1">
        <v>5.69</v>
      </c>
      <c r="O14" s="1">
        <v>6.03</v>
      </c>
      <c r="P14" s="1">
        <v>5.8742857142857146</v>
      </c>
    </row>
    <row r="15" spans="1:16" x14ac:dyDescent="0.25">
      <c r="A15" t="s">
        <v>49</v>
      </c>
      <c r="B15" t="s">
        <v>45</v>
      </c>
      <c r="C15" s="2" t="str">
        <f t="shared" si="0"/>
        <v>janvier</v>
      </c>
      <c r="D15" t="s">
        <v>50</v>
      </c>
      <c r="E15" t="s">
        <v>1587</v>
      </c>
      <c r="F15">
        <v>3</v>
      </c>
      <c r="G15" t="s">
        <v>52</v>
      </c>
      <c r="H15">
        <v>18.82</v>
      </c>
      <c r="I15">
        <f>Table1[[#This Row],[Quantité corrigé]]*Table1[[#This Row],[Prix_Unitaire_HT]]</f>
        <v>56.46</v>
      </c>
      <c r="M15" t="s">
        <v>1586</v>
      </c>
      <c r="N15" s="1">
        <v>3.82</v>
      </c>
      <c r="O15" s="1">
        <v>4.0599999999999996</v>
      </c>
      <c r="P15" s="1">
        <v>3.9440000000000017</v>
      </c>
    </row>
    <row r="16" spans="1:16" x14ac:dyDescent="0.25">
      <c r="A16" t="s">
        <v>53</v>
      </c>
      <c r="B16" t="s">
        <v>45</v>
      </c>
      <c r="C16" s="2" t="str">
        <f t="shared" si="0"/>
        <v>janvier</v>
      </c>
      <c r="D16" t="s">
        <v>195</v>
      </c>
      <c r="E16" t="s">
        <v>1588</v>
      </c>
      <c r="F16">
        <v>8</v>
      </c>
      <c r="G16" t="s">
        <v>17</v>
      </c>
      <c r="H16">
        <v>8.66</v>
      </c>
      <c r="I16">
        <f>Table1[[#This Row],[Quantité corrigé]]*Table1[[#This Row],[Prix_Unitaire_HT]]</f>
        <v>69.28</v>
      </c>
      <c r="M16" t="s">
        <v>1584</v>
      </c>
      <c r="N16" s="1">
        <v>6.62</v>
      </c>
      <c r="O16" s="1">
        <v>7.77</v>
      </c>
      <c r="P16" s="1">
        <v>7.1976190476190522</v>
      </c>
    </row>
    <row r="17" spans="1:29" x14ac:dyDescent="0.25">
      <c r="A17" t="s">
        <v>56</v>
      </c>
      <c r="B17" t="s">
        <v>57</v>
      </c>
      <c r="C17" s="2" t="str">
        <f t="shared" si="0"/>
        <v>janvier</v>
      </c>
      <c r="D17" t="s">
        <v>61</v>
      </c>
      <c r="E17" t="s">
        <v>1577</v>
      </c>
      <c r="F17">
        <v>4</v>
      </c>
      <c r="G17" t="s">
        <v>11</v>
      </c>
      <c r="H17">
        <v>14.66</v>
      </c>
      <c r="I17">
        <f>Table1[[#This Row],[Quantité corrigé]]*Table1[[#This Row],[Prix_Unitaire_HT]]</f>
        <v>58.64</v>
      </c>
      <c r="M17" t="s">
        <v>1582</v>
      </c>
      <c r="N17" s="1">
        <v>9.32</v>
      </c>
      <c r="O17" s="1">
        <v>10.57</v>
      </c>
      <c r="P17" s="1">
        <v>9.9531428571428577</v>
      </c>
    </row>
    <row r="18" spans="1:29" x14ac:dyDescent="0.25">
      <c r="A18" t="s">
        <v>58</v>
      </c>
      <c r="B18" t="s">
        <v>57</v>
      </c>
      <c r="C18" s="2" t="str">
        <f t="shared" si="0"/>
        <v>janvier</v>
      </c>
      <c r="D18" t="s">
        <v>61</v>
      </c>
      <c r="E18" t="s">
        <v>1578</v>
      </c>
      <c r="F18">
        <v>6</v>
      </c>
      <c r="G18" t="s">
        <v>11</v>
      </c>
      <c r="H18">
        <v>13.12</v>
      </c>
      <c r="I18">
        <f>Table1[[#This Row],[Quantité corrigé]]*Table1[[#This Row],[Prix_Unitaire_HT]]</f>
        <v>78.72</v>
      </c>
      <c r="M18" t="s">
        <v>1579</v>
      </c>
      <c r="N18" s="1">
        <v>1.17</v>
      </c>
      <c r="O18" s="1">
        <v>1.27</v>
      </c>
      <c r="P18" s="1">
        <v>1.221904761904762</v>
      </c>
    </row>
    <row r="19" spans="1:29" x14ac:dyDescent="0.25">
      <c r="A19" t="s">
        <v>60</v>
      </c>
      <c r="B19" t="s">
        <v>57</v>
      </c>
      <c r="C19" s="2" t="str">
        <f t="shared" si="0"/>
        <v>janvier</v>
      </c>
      <c r="D19" t="s">
        <v>61</v>
      </c>
      <c r="E19" t="s">
        <v>1579</v>
      </c>
      <c r="F19">
        <v>4</v>
      </c>
      <c r="G19" t="s">
        <v>17</v>
      </c>
      <c r="H19">
        <v>1.24</v>
      </c>
      <c r="I19">
        <f>Table1[[#This Row],[Quantité corrigé]]*Table1[[#This Row],[Prix_Unitaire_HT]]</f>
        <v>4.96</v>
      </c>
      <c r="M19" t="s">
        <v>1580</v>
      </c>
      <c r="N19" s="1">
        <v>4</v>
      </c>
      <c r="O19" s="1">
        <v>4.53</v>
      </c>
      <c r="P19" s="1">
        <v>4.267999999999998</v>
      </c>
    </row>
    <row r="20" spans="1:29" x14ac:dyDescent="0.25">
      <c r="A20" t="s">
        <v>62</v>
      </c>
      <c r="B20" t="s">
        <v>63</v>
      </c>
      <c r="C20" s="2" t="str">
        <f t="shared" si="0"/>
        <v>janvier</v>
      </c>
      <c r="D20" t="s">
        <v>66</v>
      </c>
      <c r="E20" t="s">
        <v>1583</v>
      </c>
      <c r="F20">
        <v>5</v>
      </c>
      <c r="G20" t="s">
        <v>17</v>
      </c>
      <c r="H20">
        <v>8.8800000000000008</v>
      </c>
      <c r="I20">
        <f>Table1[[#This Row],[Quantité corrigé]]*Table1[[#This Row],[Prix_Unitaire_HT]]</f>
        <v>44.400000000000006</v>
      </c>
      <c r="M20" t="s">
        <v>1583</v>
      </c>
      <c r="N20" s="1">
        <v>8.3800000000000008</v>
      </c>
      <c r="O20" s="1">
        <v>10.57</v>
      </c>
      <c r="P20" s="1">
        <v>9.4394285714285715</v>
      </c>
    </row>
    <row r="21" spans="1:29" x14ac:dyDescent="0.25">
      <c r="A21" t="s">
        <v>65</v>
      </c>
      <c r="B21" t="s">
        <v>63</v>
      </c>
      <c r="C21" s="2" t="str">
        <f t="shared" si="0"/>
        <v>janvier</v>
      </c>
      <c r="D21" t="s">
        <v>66</v>
      </c>
      <c r="E21" t="s">
        <v>1584</v>
      </c>
      <c r="F21">
        <v>6</v>
      </c>
      <c r="G21" t="s">
        <v>17</v>
      </c>
      <c r="H21">
        <v>6.93</v>
      </c>
      <c r="I21">
        <f>Table1[[#This Row],[Quantité corrigé]]*Table1[[#This Row],[Prix_Unitaire_HT]]</f>
        <v>41.58</v>
      </c>
    </row>
    <row r="22" spans="1:29" x14ac:dyDescent="0.25">
      <c r="A22" t="s">
        <v>67</v>
      </c>
      <c r="B22" t="s">
        <v>63</v>
      </c>
      <c r="C22" s="2" t="str">
        <f t="shared" si="0"/>
        <v>janvier</v>
      </c>
      <c r="D22" t="s">
        <v>69</v>
      </c>
      <c r="E22" t="s">
        <v>1585</v>
      </c>
      <c r="F22">
        <v>12</v>
      </c>
      <c r="G22" t="s">
        <v>39</v>
      </c>
      <c r="H22">
        <v>5.76</v>
      </c>
      <c r="I22">
        <f>Table1[[#This Row],[Quantité corrigé]]*Table1[[#This Row],[Prix_Unitaire_HT]]</f>
        <v>69.12</v>
      </c>
    </row>
    <row r="23" spans="1:29" x14ac:dyDescent="0.25">
      <c r="A23" t="s">
        <v>68</v>
      </c>
      <c r="B23" t="s">
        <v>63</v>
      </c>
      <c r="C23" s="2" t="str">
        <f t="shared" si="0"/>
        <v>janvier</v>
      </c>
      <c r="D23" t="s">
        <v>69</v>
      </c>
      <c r="E23" t="s">
        <v>1586</v>
      </c>
      <c r="F23">
        <v>8</v>
      </c>
      <c r="G23" t="s">
        <v>43</v>
      </c>
      <c r="H23">
        <v>3.86</v>
      </c>
      <c r="I23">
        <f>Table1[[#This Row],[Quantité corrigé]]*Table1[[#This Row],[Prix_Unitaire_HT]]</f>
        <v>30.88</v>
      </c>
    </row>
    <row r="24" spans="1:29" x14ac:dyDescent="0.25">
      <c r="A24" t="s">
        <v>70</v>
      </c>
      <c r="B24" t="s">
        <v>71</v>
      </c>
      <c r="C24" s="2" t="str">
        <f t="shared" si="0"/>
        <v>janvier</v>
      </c>
      <c r="D24" t="s">
        <v>195</v>
      </c>
      <c r="E24" t="s">
        <v>1588</v>
      </c>
      <c r="F24">
        <v>10</v>
      </c>
      <c r="G24" t="s">
        <v>17</v>
      </c>
      <c r="H24">
        <v>9.43</v>
      </c>
      <c r="I24">
        <f>Table1[[#This Row],[Quantité corrigé]]*Table1[[#This Row],[Prix_Unitaire_HT]]</f>
        <v>94.3</v>
      </c>
    </row>
    <row r="25" spans="1:29" x14ac:dyDescent="0.25">
      <c r="A25" t="s">
        <v>72</v>
      </c>
      <c r="B25" t="s">
        <v>73</v>
      </c>
      <c r="C25" s="2" t="str">
        <f t="shared" si="0"/>
        <v>janvier</v>
      </c>
      <c r="D25" t="s">
        <v>61</v>
      </c>
      <c r="E25" t="s">
        <v>1577</v>
      </c>
      <c r="F25">
        <v>5</v>
      </c>
      <c r="G25" t="s">
        <v>11</v>
      </c>
      <c r="H25">
        <v>14.25</v>
      </c>
      <c r="I25">
        <f>Table1[[#This Row],[Quantité corrigé]]*Table1[[#This Row],[Prix_Unitaire_HT]]</f>
        <v>71.25</v>
      </c>
      <c r="M25" s="3" t="s">
        <v>1611</v>
      </c>
      <c r="N25" s="3" t="s">
        <v>1597</v>
      </c>
    </row>
    <row r="26" spans="1:29" x14ac:dyDescent="0.25">
      <c r="A26" t="s">
        <v>74</v>
      </c>
      <c r="B26" t="s">
        <v>73</v>
      </c>
      <c r="C26" s="2" t="str">
        <f t="shared" si="0"/>
        <v>janvier</v>
      </c>
      <c r="D26" t="s">
        <v>61</v>
      </c>
      <c r="E26" t="s">
        <v>1578</v>
      </c>
      <c r="F26">
        <v>6</v>
      </c>
      <c r="G26" t="s">
        <v>11</v>
      </c>
      <c r="H26">
        <v>12.91</v>
      </c>
      <c r="I26">
        <f>Table1[[#This Row],[Quantité corrigé]]*Table1[[#This Row],[Prix_Unitaire_HT]]</f>
        <v>77.460000000000008</v>
      </c>
      <c r="M26" s="3" t="s">
        <v>1594</v>
      </c>
      <c r="N26" t="s">
        <v>1578</v>
      </c>
      <c r="O26" t="s">
        <v>1577</v>
      </c>
      <c r="P26" t="s">
        <v>1587</v>
      </c>
      <c r="Q26" t="s">
        <v>1581</v>
      </c>
      <c r="R26" t="s">
        <v>1588</v>
      </c>
      <c r="S26" t="s">
        <v>1585</v>
      </c>
      <c r="T26" t="s">
        <v>1586</v>
      </c>
      <c r="U26" t="s">
        <v>1584</v>
      </c>
      <c r="V26" t="s">
        <v>1582</v>
      </c>
      <c r="W26" t="s">
        <v>1579</v>
      </c>
      <c r="X26" t="s">
        <v>1580</v>
      </c>
      <c r="Y26" t="s">
        <v>1583</v>
      </c>
    </row>
    <row r="27" spans="1:29" x14ac:dyDescent="0.25">
      <c r="A27" t="s">
        <v>75</v>
      </c>
      <c r="B27" t="s">
        <v>73</v>
      </c>
      <c r="C27" s="2" t="str">
        <f t="shared" si="0"/>
        <v>janvier</v>
      </c>
      <c r="D27" t="s">
        <v>61</v>
      </c>
      <c r="E27" t="s">
        <v>1579</v>
      </c>
      <c r="F27">
        <v>4</v>
      </c>
      <c r="G27" t="s">
        <v>17</v>
      </c>
      <c r="H27">
        <v>1.23</v>
      </c>
      <c r="I27">
        <f>Table1[[#This Row],[Quantité corrigé]]*Table1[[#This Row],[Prix_Unitaire_HT]]</f>
        <v>4.92</v>
      </c>
      <c r="M27" s="4" t="s">
        <v>1598</v>
      </c>
      <c r="N27" s="1">
        <v>575.2299999999999</v>
      </c>
      <c r="O27" s="1">
        <v>596.38</v>
      </c>
      <c r="P27" s="1">
        <v>225.12</v>
      </c>
      <c r="Q27" s="1">
        <v>1283.0999999999999</v>
      </c>
      <c r="R27" s="1">
        <v>607.98</v>
      </c>
      <c r="S27" s="1">
        <v>401.11</v>
      </c>
      <c r="T27" s="1">
        <v>335.47999999999996</v>
      </c>
      <c r="U27" s="1">
        <v>492.93999999999994</v>
      </c>
      <c r="V27" s="1">
        <v>561.1</v>
      </c>
      <c r="W27" s="1">
        <v>42.489999999999995</v>
      </c>
      <c r="X27" s="1">
        <v>263.94</v>
      </c>
      <c r="Y27" s="1">
        <v>445.44000000000005</v>
      </c>
      <c r="AB27">
        <f t="shared" ref="AB27:AB38" si="1">MAX(M27:Y27)</f>
        <v>1283.0999999999999</v>
      </c>
      <c r="AC27" t="str">
        <f>_xlfn.XLOOKUP(MAX(M27:Y27),N27:Z27,$N$26:$Z$26)</f>
        <v>Huile olive</v>
      </c>
    </row>
    <row r="28" spans="1:29" x14ac:dyDescent="0.25">
      <c r="A28" t="s">
        <v>76</v>
      </c>
      <c r="B28" t="s">
        <v>73</v>
      </c>
      <c r="C28" s="2" t="str">
        <f t="shared" si="0"/>
        <v>janvier</v>
      </c>
      <c r="D28" t="s">
        <v>19</v>
      </c>
      <c r="E28" t="s">
        <v>1580</v>
      </c>
      <c r="F28">
        <v>10</v>
      </c>
      <c r="G28" t="s">
        <v>21</v>
      </c>
      <c r="H28">
        <v>4.32</v>
      </c>
      <c r="I28">
        <f>Table1[[#This Row],[Quantité corrigé]]*Table1[[#This Row],[Prix_Unitaire_HT]]</f>
        <v>43.2</v>
      </c>
      <c r="M28" s="4" t="s">
        <v>1599</v>
      </c>
      <c r="N28" s="1">
        <v>477.64</v>
      </c>
      <c r="O28" s="1">
        <v>670.7299999999999</v>
      </c>
      <c r="P28" s="1">
        <v>202.73</v>
      </c>
      <c r="Q28" s="1">
        <v>1311.3400000000001</v>
      </c>
      <c r="R28" s="1">
        <v>471.12</v>
      </c>
      <c r="S28" s="1">
        <v>485.26000000000005</v>
      </c>
      <c r="T28" s="1">
        <v>339.53999999999996</v>
      </c>
      <c r="U28" s="1">
        <v>532.50000000000011</v>
      </c>
      <c r="V28" s="1">
        <v>496.56000000000006</v>
      </c>
      <c r="W28" s="1">
        <v>46.67</v>
      </c>
      <c r="X28" s="1">
        <v>238.17999999999998</v>
      </c>
      <c r="Y28" s="1">
        <v>642.12</v>
      </c>
      <c r="AB28">
        <f t="shared" si="1"/>
        <v>1311.3400000000001</v>
      </c>
      <c r="AC28" t="str">
        <f t="shared" ref="AC28:AC38" si="2">_xlfn.XLOOKUP(MAX(M28:Y28),N28:Z28,$N$26:$Z$26)</f>
        <v>Huile olive</v>
      </c>
    </row>
    <row r="29" spans="1:29" x14ac:dyDescent="0.25">
      <c r="A29" t="s">
        <v>77</v>
      </c>
      <c r="B29" t="s">
        <v>73</v>
      </c>
      <c r="C29" s="2" t="str">
        <f t="shared" si="0"/>
        <v>janvier</v>
      </c>
      <c r="D29" t="s">
        <v>19</v>
      </c>
      <c r="E29" t="s">
        <v>1581</v>
      </c>
      <c r="F29">
        <v>4</v>
      </c>
      <c r="G29" t="s">
        <v>25</v>
      </c>
      <c r="H29">
        <v>22.41</v>
      </c>
      <c r="I29">
        <f>Table1[[#This Row],[Quantité corrigé]]*Table1[[#This Row],[Prix_Unitaire_HT]]</f>
        <v>89.64</v>
      </c>
      <c r="M29" s="4" t="s">
        <v>1600</v>
      </c>
      <c r="N29" s="1">
        <v>558.2600000000001</v>
      </c>
      <c r="O29" s="1">
        <v>517.02</v>
      </c>
      <c r="P29" s="1">
        <v>223.2</v>
      </c>
      <c r="Q29" s="1">
        <v>1178.4000000000001</v>
      </c>
      <c r="R29" s="1">
        <v>532.5</v>
      </c>
      <c r="S29" s="1">
        <v>462.79</v>
      </c>
      <c r="T29" s="1">
        <v>338.67000000000007</v>
      </c>
      <c r="U29" s="1">
        <v>555.21</v>
      </c>
      <c r="V29" s="1">
        <v>444.8</v>
      </c>
      <c r="W29" s="1">
        <v>52.230000000000004</v>
      </c>
      <c r="X29" s="1">
        <v>226.54000000000002</v>
      </c>
      <c r="Y29" s="1">
        <v>727.97</v>
      </c>
      <c r="AB29">
        <f t="shared" si="1"/>
        <v>1178.4000000000001</v>
      </c>
      <c r="AC29" t="str">
        <f t="shared" si="2"/>
        <v>Huile olive</v>
      </c>
    </row>
    <row r="30" spans="1:29" x14ac:dyDescent="0.25">
      <c r="A30" t="s">
        <v>78</v>
      </c>
      <c r="B30" t="s">
        <v>73</v>
      </c>
      <c r="C30" s="2" t="str">
        <f t="shared" si="0"/>
        <v>janvier</v>
      </c>
      <c r="D30" t="s">
        <v>19</v>
      </c>
      <c r="E30" t="s">
        <v>1582</v>
      </c>
      <c r="F30">
        <v>8</v>
      </c>
      <c r="G30" t="s">
        <v>29</v>
      </c>
      <c r="H30">
        <v>10.18</v>
      </c>
      <c r="I30">
        <f>Table1[[#This Row],[Quantité corrigé]]*Table1[[#This Row],[Prix_Unitaire_HT]]</f>
        <v>81.44</v>
      </c>
      <c r="M30" s="4" t="s">
        <v>1601</v>
      </c>
      <c r="N30" s="1">
        <v>583.35</v>
      </c>
      <c r="O30" s="1">
        <v>615.30000000000007</v>
      </c>
      <c r="P30" s="1">
        <v>162.5</v>
      </c>
      <c r="Q30" s="1">
        <v>1247.9199999999998</v>
      </c>
      <c r="R30" s="1">
        <v>522.18000000000006</v>
      </c>
      <c r="S30" s="1">
        <v>496.8</v>
      </c>
      <c r="T30" s="1">
        <v>340.11</v>
      </c>
      <c r="U30" s="1">
        <v>459.29999999999995</v>
      </c>
      <c r="V30" s="1">
        <v>682.39999999999986</v>
      </c>
      <c r="W30" s="1">
        <v>50.860000000000007</v>
      </c>
      <c r="X30" s="1">
        <v>259.32000000000005</v>
      </c>
      <c r="Y30" s="1">
        <v>684.19</v>
      </c>
      <c r="AB30">
        <f t="shared" si="1"/>
        <v>1247.9199999999998</v>
      </c>
      <c r="AC30" t="str">
        <f t="shared" si="2"/>
        <v>Huile olive</v>
      </c>
    </row>
    <row r="31" spans="1:29" x14ac:dyDescent="0.25">
      <c r="A31" t="s">
        <v>79</v>
      </c>
      <c r="B31" t="s">
        <v>80</v>
      </c>
      <c r="C31" s="2" t="str">
        <f t="shared" si="0"/>
        <v>janvier</v>
      </c>
      <c r="D31" t="s">
        <v>66</v>
      </c>
      <c r="E31" t="s">
        <v>1583</v>
      </c>
      <c r="F31">
        <v>10</v>
      </c>
      <c r="G31" t="s">
        <v>17</v>
      </c>
      <c r="H31">
        <v>8.61</v>
      </c>
      <c r="I31">
        <f>Table1[[#This Row],[Quantité corrigé]]*Table1[[#This Row],[Prix_Unitaire_HT]]</f>
        <v>86.1</v>
      </c>
      <c r="M31" s="4" t="s">
        <v>1602</v>
      </c>
      <c r="N31" s="1">
        <v>563.5</v>
      </c>
      <c r="O31" s="1">
        <v>616.16999999999985</v>
      </c>
      <c r="P31" s="1">
        <v>243.26999999999998</v>
      </c>
      <c r="Q31" s="1">
        <v>1337.74</v>
      </c>
      <c r="R31" s="1">
        <v>605.04</v>
      </c>
      <c r="S31" s="1">
        <v>464.81</v>
      </c>
      <c r="T31" s="1">
        <v>346.25</v>
      </c>
      <c r="U31" s="1">
        <v>543.78</v>
      </c>
      <c r="V31" s="1">
        <v>656.6</v>
      </c>
      <c r="W31" s="1">
        <v>53.86</v>
      </c>
      <c r="X31" s="1">
        <v>224.6</v>
      </c>
      <c r="Y31" s="1">
        <v>660.57999999999993</v>
      </c>
      <c r="AB31">
        <f t="shared" si="1"/>
        <v>1337.74</v>
      </c>
      <c r="AC31" t="str">
        <f>_xlfn.XLOOKUP(MAX(M31:Y31),N31:Z31,$N$26:$Z$26)</f>
        <v>Huile olive</v>
      </c>
    </row>
    <row r="32" spans="1:29" x14ac:dyDescent="0.25">
      <c r="A32" t="s">
        <v>81</v>
      </c>
      <c r="B32" t="s">
        <v>80</v>
      </c>
      <c r="C32" s="2" t="str">
        <f t="shared" si="0"/>
        <v>janvier</v>
      </c>
      <c r="D32" t="s">
        <v>66</v>
      </c>
      <c r="E32" t="s">
        <v>1584</v>
      </c>
      <c r="F32">
        <v>8</v>
      </c>
      <c r="G32" t="s">
        <v>17</v>
      </c>
      <c r="H32">
        <v>7.72</v>
      </c>
      <c r="I32">
        <f>Table1[[#This Row],[Quantité corrigé]]*Table1[[#This Row],[Prix_Unitaire_HT]]</f>
        <v>61.76</v>
      </c>
      <c r="M32" s="4" t="s">
        <v>1603</v>
      </c>
      <c r="N32" s="1">
        <v>471.23</v>
      </c>
      <c r="O32" s="1">
        <v>509.63</v>
      </c>
      <c r="P32" s="1">
        <v>128.65</v>
      </c>
      <c r="Q32" s="1">
        <v>1561.1399999999999</v>
      </c>
      <c r="R32" s="1">
        <v>567.82000000000016</v>
      </c>
      <c r="S32" s="1">
        <v>354.17</v>
      </c>
      <c r="T32" s="1">
        <v>340.38</v>
      </c>
      <c r="U32" s="1">
        <v>496.85</v>
      </c>
      <c r="V32" s="1">
        <v>580.62</v>
      </c>
      <c r="W32" s="1">
        <v>39.759999999999991</v>
      </c>
      <c r="X32" s="1">
        <v>275.91999999999996</v>
      </c>
      <c r="Y32" s="1">
        <v>620.61</v>
      </c>
      <c r="AB32">
        <f t="shared" si="1"/>
        <v>1561.1399999999999</v>
      </c>
      <c r="AC32" t="str">
        <f t="shared" si="2"/>
        <v>Huile olive</v>
      </c>
    </row>
    <row r="33" spans="1:36" x14ac:dyDescent="0.25">
      <c r="A33" t="s">
        <v>82</v>
      </c>
      <c r="B33" t="s">
        <v>80</v>
      </c>
      <c r="C33" s="2" t="str">
        <f t="shared" si="0"/>
        <v>janvier</v>
      </c>
      <c r="D33" t="s">
        <v>69</v>
      </c>
      <c r="E33" t="s">
        <v>1585</v>
      </c>
      <c r="F33">
        <v>5</v>
      </c>
      <c r="G33" t="s">
        <v>39</v>
      </c>
      <c r="H33">
        <v>5.86</v>
      </c>
      <c r="I33">
        <f>Table1[[#This Row],[Quantité corrigé]]*Table1[[#This Row],[Prix_Unitaire_HT]]</f>
        <v>29.3</v>
      </c>
      <c r="M33" s="4" t="s">
        <v>1604</v>
      </c>
      <c r="N33" s="1">
        <v>576.04999999999995</v>
      </c>
      <c r="O33" s="1">
        <v>612.80999999999995</v>
      </c>
      <c r="P33" s="1">
        <v>263.54000000000002</v>
      </c>
      <c r="Q33" s="1">
        <v>1445.18</v>
      </c>
      <c r="R33" s="1">
        <v>525.32000000000005</v>
      </c>
      <c r="S33" s="1">
        <v>528.6</v>
      </c>
      <c r="T33" s="1">
        <v>287.85000000000002</v>
      </c>
      <c r="U33" s="1">
        <v>510.92000000000007</v>
      </c>
      <c r="V33" s="1">
        <v>688.63999999999987</v>
      </c>
      <c r="W33" s="1">
        <v>50.9</v>
      </c>
      <c r="X33" s="1">
        <v>246.78000000000003</v>
      </c>
      <c r="Y33" s="1">
        <v>686.76</v>
      </c>
      <c r="AB33">
        <f t="shared" si="1"/>
        <v>1445.18</v>
      </c>
      <c r="AC33" t="str">
        <f t="shared" si="2"/>
        <v>Huile olive</v>
      </c>
    </row>
    <row r="34" spans="1:36" x14ac:dyDescent="0.25">
      <c r="A34" t="s">
        <v>84</v>
      </c>
      <c r="B34" t="s">
        <v>80</v>
      </c>
      <c r="C34" s="2" t="str">
        <f t="shared" si="0"/>
        <v>janvier</v>
      </c>
      <c r="D34" t="s">
        <v>69</v>
      </c>
      <c r="E34" t="s">
        <v>1586</v>
      </c>
      <c r="F34">
        <v>8</v>
      </c>
      <c r="G34" t="s">
        <v>43</v>
      </c>
      <c r="H34">
        <v>4.0199999999999996</v>
      </c>
      <c r="I34">
        <f>Table1[[#This Row],[Quantité corrigé]]*Table1[[#This Row],[Prix_Unitaire_HT]]</f>
        <v>32.159999999999997</v>
      </c>
      <c r="M34" s="4" t="s">
        <v>1605</v>
      </c>
      <c r="N34" s="1">
        <v>528.06000000000006</v>
      </c>
      <c r="O34" s="1">
        <v>601.49</v>
      </c>
      <c r="P34" s="1">
        <v>240.71</v>
      </c>
      <c r="Q34" s="1">
        <v>1127.44</v>
      </c>
      <c r="R34" s="1">
        <v>632.9</v>
      </c>
      <c r="S34" s="1">
        <v>424.78000000000003</v>
      </c>
      <c r="T34" s="1">
        <v>331.59999999999997</v>
      </c>
      <c r="U34" s="1">
        <v>404.45</v>
      </c>
      <c r="V34" s="1">
        <v>666.1</v>
      </c>
      <c r="W34" s="1">
        <v>48.720000000000006</v>
      </c>
      <c r="X34" s="1">
        <v>230.1</v>
      </c>
      <c r="Y34" s="1">
        <v>642.33000000000004</v>
      </c>
      <c r="AB34">
        <f t="shared" si="1"/>
        <v>1127.44</v>
      </c>
      <c r="AC34" t="str">
        <f t="shared" si="2"/>
        <v>Huile olive</v>
      </c>
    </row>
    <row r="35" spans="1:36" x14ac:dyDescent="0.25">
      <c r="A35" t="s">
        <v>85</v>
      </c>
      <c r="B35" t="s">
        <v>86</v>
      </c>
      <c r="C35" s="2" t="str">
        <f t="shared" si="0"/>
        <v>janvier</v>
      </c>
      <c r="D35" t="s">
        <v>19</v>
      </c>
      <c r="E35" t="s">
        <v>1580</v>
      </c>
      <c r="F35">
        <v>4</v>
      </c>
      <c r="G35" t="s">
        <v>21</v>
      </c>
      <c r="H35">
        <v>4.28</v>
      </c>
      <c r="I35">
        <f>Table1[[#This Row],[Quantité corrigé]]*Table1[[#This Row],[Prix_Unitaire_HT]]</f>
        <v>17.12</v>
      </c>
      <c r="M35" s="4" t="s">
        <v>1606</v>
      </c>
      <c r="N35" s="1">
        <v>514.36</v>
      </c>
      <c r="O35" s="1">
        <v>622.12</v>
      </c>
      <c r="P35" s="1">
        <v>182.95999999999998</v>
      </c>
      <c r="Q35" s="1">
        <v>1332.8000000000002</v>
      </c>
      <c r="R35" s="1">
        <v>469.86</v>
      </c>
      <c r="S35" s="1">
        <v>313.59999999999997</v>
      </c>
      <c r="T35" s="1">
        <v>280.33</v>
      </c>
      <c r="U35" s="1">
        <v>561.14</v>
      </c>
      <c r="V35" s="1">
        <v>722.24000000000012</v>
      </c>
      <c r="W35" s="1">
        <v>47.519999999999996</v>
      </c>
      <c r="X35" s="1">
        <v>202.83999999999997</v>
      </c>
      <c r="Y35" s="1">
        <v>473.85</v>
      </c>
      <c r="AB35">
        <f t="shared" si="1"/>
        <v>1332.8000000000002</v>
      </c>
      <c r="AC35" t="str">
        <f t="shared" si="2"/>
        <v>Huile olive</v>
      </c>
    </row>
    <row r="36" spans="1:36" x14ac:dyDescent="0.25">
      <c r="A36" t="s">
        <v>87</v>
      </c>
      <c r="B36" t="s">
        <v>86</v>
      </c>
      <c r="C36" s="2" t="str">
        <f t="shared" si="0"/>
        <v>janvier</v>
      </c>
      <c r="D36" t="s">
        <v>19</v>
      </c>
      <c r="E36" t="s">
        <v>1581</v>
      </c>
      <c r="F36">
        <v>8</v>
      </c>
      <c r="G36" t="s">
        <v>25</v>
      </c>
      <c r="H36">
        <v>20.96</v>
      </c>
      <c r="I36">
        <f>Table1[[#This Row],[Quantité corrigé]]*Table1[[#This Row],[Prix_Unitaire_HT]]</f>
        <v>167.68</v>
      </c>
      <c r="M36" s="4" t="s">
        <v>1607</v>
      </c>
      <c r="N36" s="1">
        <v>599.63</v>
      </c>
      <c r="O36" s="1">
        <v>646.54999999999995</v>
      </c>
      <c r="P36" s="1">
        <v>276.64</v>
      </c>
      <c r="Q36" s="1">
        <v>1341.6200000000003</v>
      </c>
      <c r="R36" s="1">
        <v>607.93999999999994</v>
      </c>
      <c r="S36" s="1">
        <v>522.8900000000001</v>
      </c>
      <c r="T36" s="1">
        <v>296.05</v>
      </c>
      <c r="U36" s="1">
        <v>403.33999999999992</v>
      </c>
      <c r="V36" s="1">
        <v>531.43999999999994</v>
      </c>
      <c r="W36" s="1">
        <v>41.74</v>
      </c>
      <c r="X36" s="1">
        <v>254.75999999999996</v>
      </c>
      <c r="Y36" s="1">
        <v>590.01</v>
      </c>
      <c r="AB36">
        <f t="shared" si="1"/>
        <v>1341.6200000000003</v>
      </c>
      <c r="AC36" t="str">
        <f t="shared" si="2"/>
        <v>Huile olive</v>
      </c>
    </row>
    <row r="37" spans="1:36" x14ac:dyDescent="0.25">
      <c r="A37" t="s">
        <v>88</v>
      </c>
      <c r="B37" t="s">
        <v>86</v>
      </c>
      <c r="C37" s="2" t="str">
        <f t="shared" si="0"/>
        <v>janvier</v>
      </c>
      <c r="D37" t="s">
        <v>19</v>
      </c>
      <c r="E37" t="s">
        <v>1582</v>
      </c>
      <c r="F37">
        <v>6</v>
      </c>
      <c r="G37" t="s">
        <v>29</v>
      </c>
      <c r="H37">
        <v>9.6199999999999992</v>
      </c>
      <c r="I37">
        <f>Table1[[#This Row],[Quantité corrigé]]*Table1[[#This Row],[Prix_Unitaire_HT]]</f>
        <v>57.72</v>
      </c>
      <c r="M37" s="4" t="s">
        <v>1608</v>
      </c>
      <c r="N37" s="1">
        <v>487.65</v>
      </c>
      <c r="O37" s="1">
        <v>518.64</v>
      </c>
      <c r="P37" s="1">
        <v>224.74</v>
      </c>
      <c r="Q37" s="1">
        <v>1368.1200000000001</v>
      </c>
      <c r="R37" s="1">
        <v>568.57999999999993</v>
      </c>
      <c r="S37" s="1">
        <v>437.7</v>
      </c>
      <c r="T37" s="1">
        <v>312.64</v>
      </c>
      <c r="U37" s="1">
        <v>585.95000000000005</v>
      </c>
      <c r="V37" s="1">
        <v>593.61999999999989</v>
      </c>
      <c r="W37" s="1">
        <v>37.1</v>
      </c>
      <c r="X37" s="1">
        <v>228.76000000000002</v>
      </c>
      <c r="Y37" s="1">
        <v>729.45999999999992</v>
      </c>
      <c r="AB37">
        <f t="shared" si="1"/>
        <v>1368.1200000000001</v>
      </c>
      <c r="AC37" t="str">
        <f t="shared" si="2"/>
        <v>Huile olive</v>
      </c>
    </row>
    <row r="38" spans="1:36" x14ac:dyDescent="0.25">
      <c r="A38" t="s">
        <v>89</v>
      </c>
      <c r="B38" t="s">
        <v>86</v>
      </c>
      <c r="C38" s="2" t="str">
        <f t="shared" si="0"/>
        <v>janvier</v>
      </c>
      <c r="D38" t="s">
        <v>50</v>
      </c>
      <c r="E38" t="s">
        <v>1587</v>
      </c>
      <c r="F38">
        <v>3</v>
      </c>
      <c r="G38" t="s">
        <v>52</v>
      </c>
      <c r="H38">
        <v>17.899999999999999</v>
      </c>
      <c r="I38">
        <f>Table1[[#This Row],[Quantité corrigé]]*Table1[[#This Row],[Prix_Unitaire_HT]]</f>
        <v>53.699999999999996</v>
      </c>
      <c r="M38" s="4" t="s">
        <v>1609</v>
      </c>
      <c r="N38" s="1">
        <v>519.89</v>
      </c>
      <c r="O38" s="1">
        <v>582.8599999999999</v>
      </c>
      <c r="P38" s="1">
        <v>208.08999999999997</v>
      </c>
      <c r="Q38" s="1">
        <v>1155.2199999999998</v>
      </c>
      <c r="R38" s="1">
        <v>558.6</v>
      </c>
      <c r="S38" s="1">
        <v>445.7600000000001</v>
      </c>
      <c r="T38" s="1">
        <v>304.92</v>
      </c>
      <c r="U38" s="1">
        <v>496.92</v>
      </c>
      <c r="V38" s="1">
        <v>474.84000000000003</v>
      </c>
      <c r="W38" s="1">
        <v>53.150000000000013</v>
      </c>
      <c r="X38" s="1">
        <v>321.84000000000003</v>
      </c>
      <c r="Y38" s="1">
        <v>647.53000000000009</v>
      </c>
      <c r="AB38">
        <f t="shared" si="1"/>
        <v>1155.2199999999998</v>
      </c>
      <c r="AC38" t="str">
        <f t="shared" si="2"/>
        <v>Huile olive</v>
      </c>
    </row>
    <row r="39" spans="1:36" x14ac:dyDescent="0.25">
      <c r="A39" t="s">
        <v>91</v>
      </c>
      <c r="B39" t="s">
        <v>86</v>
      </c>
      <c r="C39" s="2" t="str">
        <f t="shared" si="0"/>
        <v>janvier</v>
      </c>
      <c r="D39" t="s">
        <v>195</v>
      </c>
      <c r="E39" t="s">
        <v>1588</v>
      </c>
      <c r="F39">
        <v>10</v>
      </c>
      <c r="G39" t="s">
        <v>17</v>
      </c>
      <c r="H39">
        <v>8.5500000000000007</v>
      </c>
      <c r="I39">
        <f>Table1[[#This Row],[Quantité corrigé]]*Table1[[#This Row],[Prix_Unitaire_HT]]</f>
        <v>85.5</v>
      </c>
      <c r="M39" s="4" t="s">
        <v>1595</v>
      </c>
      <c r="N39" s="1">
        <v>6454.85</v>
      </c>
      <c r="O39" s="1">
        <v>7109.6999999999989</v>
      </c>
      <c r="P39" s="1">
        <v>2582.1500000000005</v>
      </c>
      <c r="Q39" s="1">
        <v>15690.020000000002</v>
      </c>
      <c r="R39" s="1">
        <v>6669.8399999999992</v>
      </c>
      <c r="S39" s="1">
        <v>5338.27</v>
      </c>
      <c r="T39" s="1">
        <v>3853.82</v>
      </c>
      <c r="U39" s="1">
        <v>6043.3</v>
      </c>
      <c r="V39" s="1">
        <v>7098.9599999999991</v>
      </c>
      <c r="W39" s="1">
        <v>565</v>
      </c>
      <c r="X39" s="1">
        <v>2973.58</v>
      </c>
      <c r="Y39" s="1">
        <v>7550.85</v>
      </c>
      <c r="AB39">
        <f>MAX(M39:Y39)</f>
        <v>15690.020000000002</v>
      </c>
      <c r="AC39" t="str">
        <f>_xlfn.XLOOKUP(MAX(M39:Y39),N39:Z39,$N$26:$Z$26)</f>
        <v>Huile olive</v>
      </c>
    </row>
    <row r="40" spans="1:36" x14ac:dyDescent="0.25">
      <c r="A40" t="s">
        <v>93</v>
      </c>
      <c r="B40" t="s">
        <v>94</v>
      </c>
      <c r="C40" s="2" t="str">
        <f t="shared" si="0"/>
        <v>janvier</v>
      </c>
      <c r="D40" t="s">
        <v>61</v>
      </c>
      <c r="E40" t="s">
        <v>1577</v>
      </c>
      <c r="F40">
        <v>5</v>
      </c>
      <c r="G40" t="s">
        <v>11</v>
      </c>
      <c r="H40">
        <v>14.65</v>
      </c>
      <c r="I40">
        <f>Table1[[#This Row],[Quantité corrigé]]*Table1[[#This Row],[Prix_Unitaire_HT]]</f>
        <v>73.25</v>
      </c>
    </row>
    <row r="41" spans="1:36" x14ac:dyDescent="0.25">
      <c r="A41" t="s">
        <v>95</v>
      </c>
      <c r="B41" t="s">
        <v>94</v>
      </c>
      <c r="C41" s="2" t="str">
        <f t="shared" si="0"/>
        <v>janvier</v>
      </c>
      <c r="D41" t="s">
        <v>61</v>
      </c>
      <c r="E41" t="s">
        <v>1578</v>
      </c>
      <c r="F41">
        <v>4</v>
      </c>
      <c r="G41" t="s">
        <v>11</v>
      </c>
      <c r="H41">
        <v>13.65</v>
      </c>
      <c r="I41">
        <f>Table1[[#This Row],[Quantité corrigé]]*Table1[[#This Row],[Prix_Unitaire_HT]]</f>
        <v>54.6</v>
      </c>
    </row>
    <row r="42" spans="1:36" x14ac:dyDescent="0.25">
      <c r="A42" t="s">
        <v>96</v>
      </c>
      <c r="B42" t="s">
        <v>94</v>
      </c>
      <c r="C42" s="2" t="str">
        <f t="shared" si="0"/>
        <v>janvier</v>
      </c>
      <c r="D42" t="s">
        <v>61</v>
      </c>
      <c r="E42" t="s">
        <v>1579</v>
      </c>
      <c r="F42">
        <v>6</v>
      </c>
      <c r="G42" t="s">
        <v>17</v>
      </c>
      <c r="H42">
        <v>1.26</v>
      </c>
      <c r="I42">
        <f>Table1[[#This Row],[Quantité corrigé]]*Table1[[#This Row],[Prix_Unitaire_HT]]</f>
        <v>7.5600000000000005</v>
      </c>
    </row>
    <row r="43" spans="1:36" x14ac:dyDescent="0.25">
      <c r="A43" t="s">
        <v>98</v>
      </c>
      <c r="B43" t="s">
        <v>99</v>
      </c>
      <c r="C43" s="2" t="str">
        <f t="shared" si="0"/>
        <v>janvier</v>
      </c>
      <c r="D43" t="s">
        <v>66</v>
      </c>
      <c r="E43" t="s">
        <v>1583</v>
      </c>
      <c r="F43">
        <v>6</v>
      </c>
      <c r="G43" t="s">
        <v>17</v>
      </c>
      <c r="H43">
        <v>8.8699999999999992</v>
      </c>
      <c r="I43">
        <f>Table1[[#This Row],[Quantité corrigé]]*Table1[[#This Row],[Prix_Unitaire_HT]]</f>
        <v>53.22</v>
      </c>
    </row>
    <row r="44" spans="1:36" x14ac:dyDescent="0.25">
      <c r="A44" t="s">
        <v>101</v>
      </c>
      <c r="B44" t="s">
        <v>99</v>
      </c>
      <c r="C44" s="2" t="str">
        <f t="shared" si="0"/>
        <v>janvier</v>
      </c>
      <c r="D44" t="s">
        <v>66</v>
      </c>
      <c r="E44" t="s">
        <v>1584</v>
      </c>
      <c r="F44">
        <v>5</v>
      </c>
      <c r="G44" t="s">
        <v>17</v>
      </c>
      <c r="H44">
        <v>7.3</v>
      </c>
      <c r="I44">
        <f>Table1[[#This Row],[Quantité corrigé]]*Table1[[#This Row],[Prix_Unitaire_HT]]</f>
        <v>36.5</v>
      </c>
    </row>
    <row r="45" spans="1:36" x14ac:dyDescent="0.25">
      <c r="A45" t="s">
        <v>102</v>
      </c>
      <c r="B45" t="s">
        <v>99</v>
      </c>
      <c r="C45" s="2" t="str">
        <f t="shared" si="0"/>
        <v>janvier</v>
      </c>
      <c r="D45" t="s">
        <v>69</v>
      </c>
      <c r="E45" t="s">
        <v>1585</v>
      </c>
      <c r="F45">
        <v>5</v>
      </c>
      <c r="G45" t="s">
        <v>39</v>
      </c>
      <c r="H45">
        <v>5.76</v>
      </c>
      <c r="I45">
        <f>Table1[[#This Row],[Quantité corrigé]]*Table1[[#This Row],[Prix_Unitaire_HT]]</f>
        <v>28.799999999999997</v>
      </c>
    </row>
    <row r="46" spans="1:36" x14ac:dyDescent="0.25">
      <c r="A46" t="s">
        <v>103</v>
      </c>
      <c r="B46" t="s">
        <v>99</v>
      </c>
      <c r="C46" s="2" t="str">
        <f t="shared" si="0"/>
        <v>janvier</v>
      </c>
      <c r="D46" t="s">
        <v>69</v>
      </c>
      <c r="E46" t="s">
        <v>1586</v>
      </c>
      <c r="F46">
        <v>10</v>
      </c>
      <c r="G46" t="s">
        <v>43</v>
      </c>
      <c r="H46">
        <v>3.94</v>
      </c>
      <c r="I46">
        <f>Table1[[#This Row],[Quantité corrigé]]*Table1[[#This Row],[Prix_Unitaire_HT]]</f>
        <v>39.4</v>
      </c>
    </row>
    <row r="47" spans="1:36" x14ac:dyDescent="0.25">
      <c r="A47" t="s">
        <v>104</v>
      </c>
      <c r="B47" t="s">
        <v>105</v>
      </c>
      <c r="C47" s="2" t="str">
        <f t="shared" si="0"/>
        <v>janvier</v>
      </c>
      <c r="D47" t="s">
        <v>195</v>
      </c>
      <c r="E47" t="s">
        <v>1588</v>
      </c>
      <c r="F47">
        <v>10</v>
      </c>
      <c r="G47" t="s">
        <v>17</v>
      </c>
      <c r="H47">
        <v>9.1300000000000008</v>
      </c>
      <c r="I47">
        <f>Table1[[#This Row],[Quantité corrigé]]*Table1[[#This Row],[Prix_Unitaire_HT]]</f>
        <v>91.300000000000011</v>
      </c>
      <c r="X47" t="str">
        <f>_xlfn.XLOOKUP(Y47,N27:Y27,$N$26:$Y$26)</f>
        <v>Huile olive</v>
      </c>
      <c r="Y47" cm="1">
        <f t="array" ref="Y47:AJ47">_xlfn._xlws.SORT(N27:Y27,,-1,TRUE)</f>
        <v>1283.0999999999999</v>
      </c>
      <c r="Z47">
        <v>607.98</v>
      </c>
      <c r="AA47">
        <v>596.38</v>
      </c>
      <c r="AB47">
        <v>575.2299999999999</v>
      </c>
      <c r="AC47">
        <v>561.1</v>
      </c>
      <c r="AD47">
        <v>492.93999999999994</v>
      </c>
      <c r="AE47">
        <v>445.44000000000005</v>
      </c>
      <c r="AF47">
        <v>401.11</v>
      </c>
      <c r="AG47">
        <v>335.47999999999996</v>
      </c>
      <c r="AH47">
        <v>263.94</v>
      </c>
      <c r="AI47">
        <v>225.12</v>
      </c>
      <c r="AJ47">
        <v>42.489999999999995</v>
      </c>
    </row>
    <row r="48" spans="1:36" x14ac:dyDescent="0.25">
      <c r="A48" t="s">
        <v>106</v>
      </c>
      <c r="B48" t="s">
        <v>107</v>
      </c>
      <c r="C48" s="2" t="str">
        <f t="shared" si="0"/>
        <v>janvier</v>
      </c>
      <c r="D48" t="s">
        <v>61</v>
      </c>
      <c r="E48" t="s">
        <v>1577</v>
      </c>
      <c r="F48">
        <v>6</v>
      </c>
      <c r="G48" t="s">
        <v>11</v>
      </c>
      <c r="H48">
        <v>14.21</v>
      </c>
      <c r="I48">
        <f>Table1[[#This Row],[Quantité corrigé]]*Table1[[#This Row],[Prix_Unitaire_HT]]</f>
        <v>85.26</v>
      </c>
      <c r="X48" t="str">
        <f t="shared" ref="X48:X59" si="3">_xlfn.XLOOKUP(Y48,N28:Y28,$N$26:$Y$26)</f>
        <v>Huile olive</v>
      </c>
      <c r="Y48" cm="1">
        <f t="array" ref="Y48:AJ48">_xlfn._xlws.SORT(N28:Y28,,-1,TRUE)</f>
        <v>1311.3400000000001</v>
      </c>
      <c r="Z48">
        <v>670.7299999999999</v>
      </c>
      <c r="AA48">
        <v>642.12</v>
      </c>
      <c r="AB48">
        <v>532.50000000000011</v>
      </c>
      <c r="AC48">
        <v>496.56000000000006</v>
      </c>
      <c r="AD48">
        <v>485.26000000000005</v>
      </c>
      <c r="AE48">
        <v>477.64</v>
      </c>
      <c r="AF48">
        <v>471.12</v>
      </c>
      <c r="AG48">
        <v>339.53999999999996</v>
      </c>
      <c r="AH48">
        <v>238.17999999999998</v>
      </c>
      <c r="AI48">
        <v>202.73</v>
      </c>
      <c r="AJ48">
        <v>46.67</v>
      </c>
    </row>
    <row r="49" spans="1:36" x14ac:dyDescent="0.25">
      <c r="A49" t="s">
        <v>108</v>
      </c>
      <c r="B49" t="s">
        <v>107</v>
      </c>
      <c r="C49" s="2" t="str">
        <f t="shared" si="0"/>
        <v>janvier</v>
      </c>
      <c r="D49" t="s">
        <v>61</v>
      </c>
      <c r="E49" t="s">
        <v>1578</v>
      </c>
      <c r="F49">
        <v>5</v>
      </c>
      <c r="G49" t="s">
        <v>11</v>
      </c>
      <c r="H49">
        <v>13.31</v>
      </c>
      <c r="I49">
        <f>Table1[[#This Row],[Quantité corrigé]]*Table1[[#This Row],[Prix_Unitaire_HT]]</f>
        <v>66.55</v>
      </c>
      <c r="X49" t="str">
        <f t="shared" si="3"/>
        <v>Huile olive</v>
      </c>
      <c r="Y49" cm="1">
        <f t="array" ref="Y49:AJ49">_xlfn._xlws.SORT(N29:Y29,,-1,TRUE)</f>
        <v>1178.4000000000001</v>
      </c>
      <c r="Z49">
        <v>727.97</v>
      </c>
      <c r="AA49">
        <v>558.2600000000001</v>
      </c>
      <c r="AB49">
        <v>555.21</v>
      </c>
      <c r="AC49">
        <v>532.5</v>
      </c>
      <c r="AD49">
        <v>517.02</v>
      </c>
      <c r="AE49">
        <v>462.79</v>
      </c>
      <c r="AF49">
        <v>444.8</v>
      </c>
      <c r="AG49">
        <v>338.67000000000007</v>
      </c>
      <c r="AH49">
        <v>226.54000000000002</v>
      </c>
      <c r="AI49">
        <v>223.2</v>
      </c>
      <c r="AJ49">
        <v>52.230000000000004</v>
      </c>
    </row>
    <row r="50" spans="1:36" x14ac:dyDescent="0.25">
      <c r="A50" t="s">
        <v>109</v>
      </c>
      <c r="B50" t="s">
        <v>107</v>
      </c>
      <c r="C50" s="2" t="str">
        <f t="shared" si="0"/>
        <v>janvier</v>
      </c>
      <c r="D50" t="s">
        <v>61</v>
      </c>
      <c r="E50" t="s">
        <v>1579</v>
      </c>
      <c r="F50">
        <v>3</v>
      </c>
      <c r="G50" t="s">
        <v>17</v>
      </c>
      <c r="H50">
        <v>1.17</v>
      </c>
      <c r="I50">
        <f>Table1[[#This Row],[Quantité corrigé]]*Table1[[#This Row],[Prix_Unitaire_HT]]</f>
        <v>3.51</v>
      </c>
      <c r="X50" t="str">
        <f t="shared" si="3"/>
        <v>Huile olive</v>
      </c>
      <c r="Y50" cm="1">
        <f t="array" ref="Y50:AJ50">_xlfn._xlws.SORT(N30:Y30,,-1,TRUE)</f>
        <v>1247.9199999999998</v>
      </c>
      <c r="Z50">
        <v>684.19</v>
      </c>
      <c r="AA50">
        <v>682.39999999999986</v>
      </c>
      <c r="AB50">
        <v>615.30000000000007</v>
      </c>
      <c r="AC50">
        <v>583.35</v>
      </c>
      <c r="AD50">
        <v>522.18000000000006</v>
      </c>
      <c r="AE50">
        <v>496.8</v>
      </c>
      <c r="AF50">
        <v>459.29999999999995</v>
      </c>
      <c r="AG50">
        <v>340.11</v>
      </c>
      <c r="AH50">
        <v>259.32000000000005</v>
      </c>
      <c r="AI50">
        <v>162.5</v>
      </c>
      <c r="AJ50">
        <v>50.860000000000007</v>
      </c>
    </row>
    <row r="51" spans="1:36" x14ac:dyDescent="0.25">
      <c r="A51" t="s">
        <v>110</v>
      </c>
      <c r="B51" t="s">
        <v>107</v>
      </c>
      <c r="C51" s="2" t="str">
        <f t="shared" si="0"/>
        <v>janvier</v>
      </c>
      <c r="D51" t="s">
        <v>19</v>
      </c>
      <c r="E51" t="s">
        <v>1580</v>
      </c>
      <c r="F51">
        <v>6</v>
      </c>
      <c r="G51" t="s">
        <v>21</v>
      </c>
      <c r="H51">
        <v>4.13</v>
      </c>
      <c r="I51">
        <f>Table1[[#This Row],[Quantité corrigé]]*Table1[[#This Row],[Prix_Unitaire_HT]]</f>
        <v>24.78</v>
      </c>
      <c r="X51" t="str">
        <f t="shared" si="3"/>
        <v>Huile olive</v>
      </c>
      <c r="Y51" cm="1">
        <f t="array" ref="Y51:AJ51">_xlfn._xlws.SORT(N31:Y31,,-1,TRUE)</f>
        <v>1337.74</v>
      </c>
      <c r="Z51">
        <v>660.57999999999993</v>
      </c>
      <c r="AA51">
        <v>656.6</v>
      </c>
      <c r="AB51">
        <v>616.16999999999985</v>
      </c>
      <c r="AC51">
        <v>605.04</v>
      </c>
      <c r="AD51">
        <v>563.5</v>
      </c>
      <c r="AE51">
        <v>543.78</v>
      </c>
      <c r="AF51">
        <v>464.81</v>
      </c>
      <c r="AG51">
        <v>346.25</v>
      </c>
      <c r="AH51">
        <v>243.26999999999998</v>
      </c>
      <c r="AI51">
        <v>224.6</v>
      </c>
      <c r="AJ51">
        <v>53.86</v>
      </c>
    </row>
    <row r="52" spans="1:36" x14ac:dyDescent="0.25">
      <c r="A52" t="s">
        <v>111</v>
      </c>
      <c r="B52" t="s">
        <v>107</v>
      </c>
      <c r="C52" s="2" t="str">
        <f t="shared" si="0"/>
        <v>janvier</v>
      </c>
      <c r="D52" t="s">
        <v>19</v>
      </c>
      <c r="E52" t="s">
        <v>1581</v>
      </c>
      <c r="F52">
        <v>8</v>
      </c>
      <c r="G52" t="s">
        <v>25</v>
      </c>
      <c r="H52">
        <v>22.11</v>
      </c>
      <c r="I52">
        <f>Table1[[#This Row],[Quantité corrigé]]*Table1[[#This Row],[Prix_Unitaire_HT]]</f>
        <v>176.88</v>
      </c>
      <c r="X52" t="str">
        <f t="shared" si="3"/>
        <v>Huile olive</v>
      </c>
      <c r="Y52" cm="1">
        <f t="array" ref="Y52:AJ52">_xlfn._xlws.SORT(N32:Y32,,-1,TRUE)</f>
        <v>1561.1399999999999</v>
      </c>
      <c r="Z52">
        <v>620.61</v>
      </c>
      <c r="AA52">
        <v>580.62</v>
      </c>
      <c r="AB52">
        <v>567.82000000000016</v>
      </c>
      <c r="AC52">
        <v>509.63</v>
      </c>
      <c r="AD52">
        <v>496.85</v>
      </c>
      <c r="AE52">
        <v>471.23</v>
      </c>
      <c r="AF52">
        <v>354.17</v>
      </c>
      <c r="AG52">
        <v>340.38</v>
      </c>
      <c r="AH52">
        <v>275.91999999999996</v>
      </c>
      <c r="AI52">
        <v>128.65</v>
      </c>
      <c r="AJ52">
        <v>39.759999999999991</v>
      </c>
    </row>
    <row r="53" spans="1:36" x14ac:dyDescent="0.25">
      <c r="A53" t="s">
        <v>112</v>
      </c>
      <c r="B53" t="s">
        <v>107</v>
      </c>
      <c r="C53" s="2" t="str">
        <f t="shared" si="0"/>
        <v>janvier</v>
      </c>
      <c r="D53" t="s">
        <v>19</v>
      </c>
      <c r="E53" t="s">
        <v>1582</v>
      </c>
      <c r="F53">
        <v>4</v>
      </c>
      <c r="G53" t="s">
        <v>29</v>
      </c>
      <c r="H53">
        <v>9.8699999999999992</v>
      </c>
      <c r="I53">
        <f>Table1[[#This Row],[Quantité corrigé]]*Table1[[#This Row],[Prix_Unitaire_HT]]</f>
        <v>39.479999999999997</v>
      </c>
      <c r="X53" t="str">
        <f t="shared" si="3"/>
        <v>Huile olive</v>
      </c>
      <c r="Y53" cm="1">
        <f t="array" ref="Y53:AJ53">_xlfn._xlws.SORT(N33:Y33,,-1,TRUE)</f>
        <v>1445.18</v>
      </c>
      <c r="Z53">
        <v>688.63999999999987</v>
      </c>
      <c r="AA53">
        <v>686.76</v>
      </c>
      <c r="AB53">
        <v>612.80999999999995</v>
      </c>
      <c r="AC53">
        <v>576.04999999999995</v>
      </c>
      <c r="AD53">
        <v>528.6</v>
      </c>
      <c r="AE53">
        <v>525.32000000000005</v>
      </c>
      <c r="AF53">
        <v>510.92000000000007</v>
      </c>
      <c r="AG53">
        <v>287.85000000000002</v>
      </c>
      <c r="AH53">
        <v>263.54000000000002</v>
      </c>
      <c r="AI53">
        <v>246.78000000000003</v>
      </c>
      <c r="AJ53">
        <v>50.9</v>
      </c>
    </row>
    <row r="54" spans="1:36" x14ac:dyDescent="0.25">
      <c r="A54" t="s">
        <v>113</v>
      </c>
      <c r="B54" t="s">
        <v>114</v>
      </c>
      <c r="C54" s="2" t="str">
        <f t="shared" si="0"/>
        <v>janvier</v>
      </c>
      <c r="D54" t="s">
        <v>66</v>
      </c>
      <c r="E54" t="s">
        <v>1583</v>
      </c>
      <c r="F54">
        <v>6</v>
      </c>
      <c r="G54" t="s">
        <v>17</v>
      </c>
      <c r="H54">
        <v>10.57</v>
      </c>
      <c r="I54">
        <f>Table1[[#This Row],[Quantité corrigé]]*Table1[[#This Row],[Prix_Unitaire_HT]]</f>
        <v>63.42</v>
      </c>
      <c r="X54" t="str">
        <f t="shared" si="3"/>
        <v>Huile olive</v>
      </c>
      <c r="Y54" cm="1">
        <f t="array" ref="Y54:AJ54">_xlfn._xlws.SORT(N34:Y34,,-1,TRUE)</f>
        <v>1127.44</v>
      </c>
      <c r="Z54">
        <v>666.1</v>
      </c>
      <c r="AA54">
        <v>642.33000000000004</v>
      </c>
      <c r="AB54">
        <v>632.9</v>
      </c>
      <c r="AC54">
        <v>601.49</v>
      </c>
      <c r="AD54">
        <v>528.06000000000006</v>
      </c>
      <c r="AE54">
        <v>424.78000000000003</v>
      </c>
      <c r="AF54">
        <v>404.45</v>
      </c>
      <c r="AG54">
        <v>331.59999999999997</v>
      </c>
      <c r="AH54">
        <v>240.71</v>
      </c>
      <c r="AI54">
        <v>230.1</v>
      </c>
      <c r="AJ54">
        <v>48.720000000000006</v>
      </c>
    </row>
    <row r="55" spans="1:36" x14ac:dyDescent="0.25">
      <c r="A55" t="s">
        <v>115</v>
      </c>
      <c r="B55" t="s">
        <v>114</v>
      </c>
      <c r="C55" s="2" t="str">
        <f t="shared" si="0"/>
        <v>janvier</v>
      </c>
      <c r="D55" t="s">
        <v>66</v>
      </c>
      <c r="E55" t="s">
        <v>1584</v>
      </c>
      <c r="F55">
        <v>10</v>
      </c>
      <c r="G55" t="s">
        <v>17</v>
      </c>
      <c r="H55">
        <v>7.18</v>
      </c>
      <c r="I55">
        <f>Table1[[#This Row],[Quantité corrigé]]*Table1[[#This Row],[Prix_Unitaire_HT]]</f>
        <v>71.8</v>
      </c>
      <c r="X55" t="str">
        <f t="shared" si="3"/>
        <v>Huile olive</v>
      </c>
      <c r="Y55" cm="1">
        <f t="array" ref="Y55:AJ55">_xlfn._xlws.SORT(N35:Y35,,-1,TRUE)</f>
        <v>1332.8000000000002</v>
      </c>
      <c r="Z55">
        <v>722.24000000000012</v>
      </c>
      <c r="AA55">
        <v>622.12</v>
      </c>
      <c r="AB55">
        <v>561.14</v>
      </c>
      <c r="AC55">
        <v>514.36</v>
      </c>
      <c r="AD55">
        <v>473.85</v>
      </c>
      <c r="AE55">
        <v>469.86</v>
      </c>
      <c r="AF55">
        <v>313.59999999999997</v>
      </c>
      <c r="AG55">
        <v>280.33</v>
      </c>
      <c r="AH55">
        <v>202.83999999999997</v>
      </c>
      <c r="AI55">
        <v>182.95999999999998</v>
      </c>
      <c r="AJ55">
        <v>47.519999999999996</v>
      </c>
    </row>
    <row r="56" spans="1:36" x14ac:dyDescent="0.25">
      <c r="A56" t="s">
        <v>116</v>
      </c>
      <c r="B56" t="s">
        <v>114</v>
      </c>
      <c r="C56" s="2" t="str">
        <f t="shared" si="0"/>
        <v>janvier</v>
      </c>
      <c r="D56" t="s">
        <v>69</v>
      </c>
      <c r="E56" t="s">
        <v>1585</v>
      </c>
      <c r="F56">
        <v>12</v>
      </c>
      <c r="G56" t="s">
        <v>39</v>
      </c>
      <c r="H56">
        <v>5.82</v>
      </c>
      <c r="I56">
        <f>Table1[[#This Row],[Quantité corrigé]]*Table1[[#This Row],[Prix_Unitaire_HT]]</f>
        <v>69.84</v>
      </c>
      <c r="X56" t="str">
        <f t="shared" si="3"/>
        <v>Huile olive</v>
      </c>
      <c r="Y56" cm="1">
        <f t="array" ref="Y56:AJ56">_xlfn._xlws.SORT(N36:Y36,,-1,TRUE)</f>
        <v>1341.6200000000003</v>
      </c>
      <c r="Z56">
        <v>646.54999999999995</v>
      </c>
      <c r="AA56">
        <v>607.93999999999994</v>
      </c>
      <c r="AB56">
        <v>599.63</v>
      </c>
      <c r="AC56">
        <v>590.01</v>
      </c>
      <c r="AD56">
        <v>531.43999999999994</v>
      </c>
      <c r="AE56">
        <v>522.8900000000001</v>
      </c>
      <c r="AF56">
        <v>403.33999999999992</v>
      </c>
      <c r="AG56">
        <v>296.05</v>
      </c>
      <c r="AH56">
        <v>276.64</v>
      </c>
      <c r="AI56">
        <v>254.75999999999996</v>
      </c>
      <c r="AJ56">
        <v>41.74</v>
      </c>
    </row>
    <row r="57" spans="1:36" x14ac:dyDescent="0.25">
      <c r="A57" t="s">
        <v>117</v>
      </c>
      <c r="B57" t="s">
        <v>114</v>
      </c>
      <c r="C57" s="2" t="str">
        <f t="shared" si="0"/>
        <v>janvier</v>
      </c>
      <c r="D57" t="s">
        <v>69</v>
      </c>
      <c r="E57" t="s">
        <v>1586</v>
      </c>
      <c r="F57">
        <v>12</v>
      </c>
      <c r="G57" t="s">
        <v>43</v>
      </c>
      <c r="H57">
        <v>3.89</v>
      </c>
      <c r="I57">
        <f>Table1[[#This Row],[Quantité corrigé]]*Table1[[#This Row],[Prix_Unitaire_HT]]</f>
        <v>46.68</v>
      </c>
      <c r="X57" t="str">
        <f t="shared" si="3"/>
        <v>Huile olive</v>
      </c>
      <c r="Y57" cm="1">
        <f t="array" ref="Y57:AJ57">_xlfn._xlws.SORT(N37:Y37,,-1,TRUE)</f>
        <v>1368.1200000000001</v>
      </c>
      <c r="Z57">
        <v>729.45999999999992</v>
      </c>
      <c r="AA57">
        <v>593.61999999999989</v>
      </c>
      <c r="AB57">
        <v>585.95000000000005</v>
      </c>
      <c r="AC57">
        <v>568.57999999999993</v>
      </c>
      <c r="AD57">
        <v>518.64</v>
      </c>
      <c r="AE57">
        <v>487.65</v>
      </c>
      <c r="AF57">
        <v>437.7</v>
      </c>
      <c r="AG57">
        <v>312.64</v>
      </c>
      <c r="AH57">
        <v>228.76000000000002</v>
      </c>
      <c r="AI57">
        <v>224.74</v>
      </c>
      <c r="AJ57">
        <v>37.1</v>
      </c>
    </row>
    <row r="58" spans="1:36" x14ac:dyDescent="0.25">
      <c r="A58" t="s">
        <v>118</v>
      </c>
      <c r="B58" t="s">
        <v>119</v>
      </c>
      <c r="C58" s="2" t="str">
        <f t="shared" si="0"/>
        <v>janvier</v>
      </c>
      <c r="D58" t="s">
        <v>19</v>
      </c>
      <c r="E58" t="s">
        <v>1580</v>
      </c>
      <c r="F58">
        <v>4</v>
      </c>
      <c r="G58" t="s">
        <v>21</v>
      </c>
      <c r="H58">
        <v>4.1100000000000003</v>
      </c>
      <c r="I58">
        <f>Table1[[#This Row],[Quantité corrigé]]*Table1[[#This Row],[Prix_Unitaire_HT]]</f>
        <v>16.440000000000001</v>
      </c>
      <c r="X58" t="str">
        <f t="shared" si="3"/>
        <v>Huile olive</v>
      </c>
      <c r="Y58" cm="1">
        <f t="array" ref="Y58:AJ58">_xlfn._xlws.SORT(N38:Y38,,-1,TRUE)</f>
        <v>1155.2199999999998</v>
      </c>
      <c r="Z58">
        <v>647.53000000000009</v>
      </c>
      <c r="AA58">
        <v>582.8599999999999</v>
      </c>
      <c r="AB58">
        <v>558.6</v>
      </c>
      <c r="AC58">
        <v>519.89</v>
      </c>
      <c r="AD58">
        <v>496.92</v>
      </c>
      <c r="AE58">
        <v>474.84000000000003</v>
      </c>
      <c r="AF58">
        <v>445.7600000000001</v>
      </c>
      <c r="AG58">
        <v>321.84000000000003</v>
      </c>
      <c r="AH58">
        <v>304.92</v>
      </c>
      <c r="AI58">
        <v>208.08999999999997</v>
      </c>
      <c r="AJ58">
        <v>53.150000000000013</v>
      </c>
    </row>
    <row r="59" spans="1:36" x14ac:dyDescent="0.25">
      <c r="A59" t="s">
        <v>120</v>
      </c>
      <c r="B59" t="s">
        <v>119</v>
      </c>
      <c r="C59" s="2" t="str">
        <f t="shared" si="0"/>
        <v>janvier</v>
      </c>
      <c r="D59" t="s">
        <v>19</v>
      </c>
      <c r="E59" t="s">
        <v>1581</v>
      </c>
      <c r="F59">
        <v>4</v>
      </c>
      <c r="G59" t="s">
        <v>25</v>
      </c>
      <c r="H59">
        <v>23.04</v>
      </c>
      <c r="I59">
        <f>Table1[[#This Row],[Quantité corrigé]]*Table1[[#This Row],[Prix_Unitaire_HT]]</f>
        <v>92.16</v>
      </c>
      <c r="X59" t="str">
        <f t="shared" si="3"/>
        <v>Huile olive</v>
      </c>
      <c r="Y59" cm="1">
        <f t="array" ref="Y59:AJ59">_xlfn._xlws.SORT(N39:Y39,,-1,TRUE)</f>
        <v>15690.020000000002</v>
      </c>
      <c r="Z59">
        <v>7550.85</v>
      </c>
      <c r="AA59">
        <v>7109.6999999999989</v>
      </c>
      <c r="AB59">
        <v>7098.9599999999991</v>
      </c>
      <c r="AC59">
        <v>6669.8399999999992</v>
      </c>
      <c r="AD59">
        <v>6454.85</v>
      </c>
      <c r="AE59">
        <v>6043.3</v>
      </c>
      <c r="AF59">
        <v>5338.27</v>
      </c>
      <c r="AG59">
        <v>3853.82</v>
      </c>
      <c r="AH59">
        <v>2973.58</v>
      </c>
      <c r="AI59">
        <v>2582.1500000000005</v>
      </c>
      <c r="AJ59">
        <v>565</v>
      </c>
    </row>
    <row r="60" spans="1:36" x14ac:dyDescent="0.25">
      <c r="A60" t="s">
        <v>121</v>
      </c>
      <c r="B60" t="s">
        <v>119</v>
      </c>
      <c r="C60" s="2" t="str">
        <f t="shared" si="0"/>
        <v>janvier</v>
      </c>
      <c r="D60" t="s">
        <v>19</v>
      </c>
      <c r="E60" t="s">
        <v>1582</v>
      </c>
      <c r="F60">
        <v>6</v>
      </c>
      <c r="G60" t="s">
        <v>29</v>
      </c>
      <c r="H60">
        <v>9.9499999999999993</v>
      </c>
      <c r="I60">
        <f>Table1[[#This Row],[Quantité corrigé]]*Table1[[#This Row],[Prix_Unitaire_HT]]</f>
        <v>59.699999999999996</v>
      </c>
    </row>
    <row r="61" spans="1:36" x14ac:dyDescent="0.25">
      <c r="A61" t="s">
        <v>122</v>
      </c>
      <c r="B61" t="s">
        <v>119</v>
      </c>
      <c r="C61" s="2" t="str">
        <f t="shared" si="0"/>
        <v>janvier</v>
      </c>
      <c r="D61" t="s">
        <v>50</v>
      </c>
      <c r="E61" t="s">
        <v>1587</v>
      </c>
      <c r="F61">
        <v>2</v>
      </c>
      <c r="G61" t="s">
        <v>52</v>
      </c>
      <c r="H61">
        <v>19.18</v>
      </c>
      <c r="I61">
        <f>Table1[[#This Row],[Quantité corrigé]]*Table1[[#This Row],[Prix_Unitaire_HT]]</f>
        <v>38.36</v>
      </c>
    </row>
    <row r="62" spans="1:36" x14ac:dyDescent="0.25">
      <c r="A62" t="s">
        <v>123</v>
      </c>
      <c r="B62" t="s">
        <v>119</v>
      </c>
      <c r="C62" s="2" t="str">
        <f t="shared" si="0"/>
        <v>janvier</v>
      </c>
      <c r="D62" t="s">
        <v>195</v>
      </c>
      <c r="E62" t="s">
        <v>1588</v>
      </c>
      <c r="F62">
        <v>6</v>
      </c>
      <c r="G62" t="s">
        <v>17</v>
      </c>
      <c r="H62">
        <v>8.94</v>
      </c>
      <c r="I62">
        <f>Table1[[#This Row],[Quantité corrigé]]*Table1[[#This Row],[Prix_Unitaire_HT]]</f>
        <v>53.64</v>
      </c>
    </row>
    <row r="63" spans="1:36" x14ac:dyDescent="0.25">
      <c r="A63" t="s">
        <v>124</v>
      </c>
      <c r="B63" t="s">
        <v>125</v>
      </c>
      <c r="C63" s="2" t="str">
        <f t="shared" si="0"/>
        <v>janvier</v>
      </c>
      <c r="D63" t="s">
        <v>61</v>
      </c>
      <c r="E63" t="s">
        <v>1577</v>
      </c>
      <c r="F63">
        <v>3</v>
      </c>
      <c r="G63" t="s">
        <v>11</v>
      </c>
      <c r="H63">
        <v>14.51</v>
      </c>
      <c r="I63">
        <f>Table1[[#This Row],[Quantité corrigé]]*Table1[[#This Row],[Prix_Unitaire_HT]]</f>
        <v>43.53</v>
      </c>
    </row>
    <row r="64" spans="1:36" x14ac:dyDescent="0.25">
      <c r="A64" t="s">
        <v>126</v>
      </c>
      <c r="B64" t="s">
        <v>125</v>
      </c>
      <c r="C64" s="2" t="str">
        <f t="shared" si="0"/>
        <v>janvier</v>
      </c>
      <c r="D64" t="s">
        <v>61</v>
      </c>
      <c r="E64" t="s">
        <v>1578</v>
      </c>
      <c r="F64">
        <v>5</v>
      </c>
      <c r="G64" t="s">
        <v>11</v>
      </c>
      <c r="H64">
        <v>13.91</v>
      </c>
      <c r="I64">
        <f>Table1[[#This Row],[Quantité corrigé]]*Table1[[#This Row],[Prix_Unitaire_HT]]</f>
        <v>69.55</v>
      </c>
    </row>
    <row r="65" spans="1:9" x14ac:dyDescent="0.25">
      <c r="A65" t="s">
        <v>127</v>
      </c>
      <c r="B65" t="s">
        <v>125</v>
      </c>
      <c r="C65" s="2" t="str">
        <f t="shared" si="0"/>
        <v>janvier</v>
      </c>
      <c r="D65" t="s">
        <v>61</v>
      </c>
      <c r="E65" t="s">
        <v>1579</v>
      </c>
      <c r="F65">
        <v>4</v>
      </c>
      <c r="G65" t="s">
        <v>17</v>
      </c>
      <c r="H65">
        <v>1.19</v>
      </c>
      <c r="I65">
        <f>Table1[[#This Row],[Quantité corrigé]]*Table1[[#This Row],[Prix_Unitaire_HT]]</f>
        <v>4.76</v>
      </c>
    </row>
    <row r="66" spans="1:9" x14ac:dyDescent="0.25">
      <c r="A66" t="s">
        <v>128</v>
      </c>
      <c r="B66" t="s">
        <v>129</v>
      </c>
      <c r="C66" s="2" t="str">
        <f t="shared" ref="C66:C129" si="4">TEXT(DATE(2024,MID(B66,4,2),_xlfn.TEXTBEFORE(B66,"/",1)),"mmmm")</f>
        <v>janvier</v>
      </c>
      <c r="D66" t="s">
        <v>66</v>
      </c>
      <c r="E66" t="s">
        <v>1583</v>
      </c>
      <c r="F66">
        <v>6</v>
      </c>
      <c r="G66" t="s">
        <v>17</v>
      </c>
      <c r="H66">
        <v>9.4</v>
      </c>
      <c r="I66">
        <f>Table1[[#This Row],[Quantité corrigé]]*Table1[[#This Row],[Prix_Unitaire_HT]]</f>
        <v>56.400000000000006</v>
      </c>
    </row>
    <row r="67" spans="1:9" x14ac:dyDescent="0.25">
      <c r="A67" t="s">
        <v>130</v>
      </c>
      <c r="B67" t="s">
        <v>129</v>
      </c>
      <c r="C67" s="2" t="str">
        <f t="shared" si="4"/>
        <v>janvier</v>
      </c>
      <c r="D67" t="s">
        <v>66</v>
      </c>
      <c r="E67" t="s">
        <v>1584</v>
      </c>
      <c r="F67">
        <v>6</v>
      </c>
      <c r="G67" t="s">
        <v>17</v>
      </c>
      <c r="H67">
        <v>6.71</v>
      </c>
      <c r="I67">
        <f>Table1[[#This Row],[Quantité corrigé]]*Table1[[#This Row],[Prix_Unitaire_HT]]</f>
        <v>40.26</v>
      </c>
    </row>
    <row r="68" spans="1:9" x14ac:dyDescent="0.25">
      <c r="A68" t="s">
        <v>131</v>
      </c>
      <c r="B68" t="s">
        <v>129</v>
      </c>
      <c r="C68" s="2" t="str">
        <f t="shared" si="4"/>
        <v>janvier</v>
      </c>
      <c r="D68" t="s">
        <v>69</v>
      </c>
      <c r="E68" t="s">
        <v>1585</v>
      </c>
      <c r="F68">
        <v>5</v>
      </c>
      <c r="G68" t="s">
        <v>39</v>
      </c>
      <c r="H68">
        <v>6.01</v>
      </c>
      <c r="I68">
        <f>Table1[[#This Row],[Quantité corrigé]]*Table1[[#This Row],[Prix_Unitaire_HT]]</f>
        <v>30.049999999999997</v>
      </c>
    </row>
    <row r="69" spans="1:9" x14ac:dyDescent="0.25">
      <c r="A69" t="s">
        <v>132</v>
      </c>
      <c r="B69" t="s">
        <v>129</v>
      </c>
      <c r="C69" s="2" t="str">
        <f t="shared" si="4"/>
        <v>janvier</v>
      </c>
      <c r="D69" t="s">
        <v>69</v>
      </c>
      <c r="E69" t="s">
        <v>1586</v>
      </c>
      <c r="F69">
        <v>12</v>
      </c>
      <c r="G69" t="s">
        <v>43</v>
      </c>
      <c r="H69">
        <v>3.89</v>
      </c>
      <c r="I69">
        <f>Table1[[#This Row],[Quantité corrigé]]*Table1[[#This Row],[Prix_Unitaire_HT]]</f>
        <v>46.68</v>
      </c>
    </row>
    <row r="70" spans="1:9" x14ac:dyDescent="0.25">
      <c r="A70" t="s">
        <v>133</v>
      </c>
      <c r="B70" t="s">
        <v>134</v>
      </c>
      <c r="C70" s="2" t="str">
        <f t="shared" si="4"/>
        <v>janvier</v>
      </c>
      <c r="D70" t="s">
        <v>195</v>
      </c>
      <c r="E70" t="s">
        <v>1588</v>
      </c>
      <c r="F70">
        <v>4</v>
      </c>
      <c r="G70" t="s">
        <v>17</v>
      </c>
      <c r="H70">
        <v>9.24</v>
      </c>
      <c r="I70">
        <f>Table1[[#This Row],[Quantité corrigé]]*Table1[[#This Row],[Prix_Unitaire_HT]]</f>
        <v>36.96</v>
      </c>
    </row>
    <row r="71" spans="1:9" x14ac:dyDescent="0.25">
      <c r="A71" t="s">
        <v>135</v>
      </c>
      <c r="B71" t="s">
        <v>136</v>
      </c>
      <c r="C71" s="2" t="str">
        <f t="shared" si="4"/>
        <v>janvier</v>
      </c>
      <c r="D71" t="s">
        <v>61</v>
      </c>
      <c r="E71" t="s">
        <v>1577</v>
      </c>
      <c r="F71">
        <v>5</v>
      </c>
      <c r="G71" t="s">
        <v>11</v>
      </c>
      <c r="H71">
        <v>15.18</v>
      </c>
      <c r="I71">
        <f>Table1[[#This Row],[Quantité corrigé]]*Table1[[#This Row],[Prix_Unitaire_HT]]</f>
        <v>75.900000000000006</v>
      </c>
    </row>
    <row r="72" spans="1:9" x14ac:dyDescent="0.25">
      <c r="A72" t="s">
        <v>137</v>
      </c>
      <c r="B72" t="s">
        <v>136</v>
      </c>
      <c r="C72" s="2" t="str">
        <f t="shared" si="4"/>
        <v>janvier</v>
      </c>
      <c r="D72" t="s">
        <v>61</v>
      </c>
      <c r="E72" t="s">
        <v>1578</v>
      </c>
      <c r="F72">
        <v>5</v>
      </c>
      <c r="G72" t="s">
        <v>11</v>
      </c>
      <c r="H72">
        <v>12.94</v>
      </c>
      <c r="I72">
        <f>Table1[[#This Row],[Quantité corrigé]]*Table1[[#This Row],[Prix_Unitaire_HT]]</f>
        <v>64.7</v>
      </c>
    </row>
    <row r="73" spans="1:9" x14ac:dyDescent="0.25">
      <c r="A73" t="s">
        <v>138</v>
      </c>
      <c r="B73" t="s">
        <v>136</v>
      </c>
      <c r="C73" s="2" t="str">
        <f t="shared" si="4"/>
        <v>janvier</v>
      </c>
      <c r="D73" t="s">
        <v>61</v>
      </c>
      <c r="E73" t="s">
        <v>1579</v>
      </c>
      <c r="F73">
        <v>4</v>
      </c>
      <c r="G73" t="s">
        <v>17</v>
      </c>
      <c r="H73">
        <v>1.19</v>
      </c>
      <c r="I73">
        <f>Table1[[#This Row],[Quantité corrigé]]*Table1[[#This Row],[Prix_Unitaire_HT]]</f>
        <v>4.76</v>
      </c>
    </row>
    <row r="74" spans="1:9" x14ac:dyDescent="0.25">
      <c r="A74" t="s">
        <v>139</v>
      </c>
      <c r="B74" t="s">
        <v>136</v>
      </c>
      <c r="C74" s="2" t="str">
        <f t="shared" si="4"/>
        <v>janvier</v>
      </c>
      <c r="D74" t="s">
        <v>19</v>
      </c>
      <c r="E74" t="s">
        <v>1580</v>
      </c>
      <c r="F74">
        <v>8</v>
      </c>
      <c r="G74" t="s">
        <v>21</v>
      </c>
      <c r="H74">
        <v>4.0999999999999996</v>
      </c>
      <c r="I74">
        <f>Table1[[#This Row],[Quantité corrigé]]*Table1[[#This Row],[Prix_Unitaire_HT]]</f>
        <v>32.799999999999997</v>
      </c>
    </row>
    <row r="75" spans="1:9" x14ac:dyDescent="0.25">
      <c r="A75" t="s">
        <v>140</v>
      </c>
      <c r="B75" t="s">
        <v>136</v>
      </c>
      <c r="C75" s="2" t="str">
        <f t="shared" si="4"/>
        <v>janvier</v>
      </c>
      <c r="D75" t="s">
        <v>19</v>
      </c>
      <c r="E75" t="s">
        <v>1581</v>
      </c>
      <c r="F75">
        <v>4</v>
      </c>
      <c r="G75" t="s">
        <v>25</v>
      </c>
      <c r="H75">
        <v>23.49</v>
      </c>
      <c r="I75">
        <f>Table1[[#This Row],[Quantité corrigé]]*Table1[[#This Row],[Prix_Unitaire_HT]]</f>
        <v>93.96</v>
      </c>
    </row>
    <row r="76" spans="1:9" x14ac:dyDescent="0.25">
      <c r="A76" t="s">
        <v>141</v>
      </c>
      <c r="B76" t="s">
        <v>136</v>
      </c>
      <c r="C76" s="2" t="str">
        <f t="shared" si="4"/>
        <v>janvier</v>
      </c>
      <c r="D76" t="s">
        <v>19</v>
      </c>
      <c r="E76" t="s">
        <v>1582</v>
      </c>
      <c r="F76">
        <v>8</v>
      </c>
      <c r="G76" t="s">
        <v>29</v>
      </c>
      <c r="H76">
        <v>10.37</v>
      </c>
      <c r="I76">
        <f>Table1[[#This Row],[Quantité corrigé]]*Table1[[#This Row],[Prix_Unitaire_HT]]</f>
        <v>82.96</v>
      </c>
    </row>
    <row r="77" spans="1:9" x14ac:dyDescent="0.25">
      <c r="A77" t="s">
        <v>142</v>
      </c>
      <c r="B77" t="s">
        <v>143</v>
      </c>
      <c r="C77" s="2" t="str">
        <f t="shared" si="4"/>
        <v>janvier</v>
      </c>
      <c r="D77" t="s">
        <v>66</v>
      </c>
      <c r="E77" t="s">
        <v>1583</v>
      </c>
      <c r="F77">
        <v>8</v>
      </c>
      <c r="G77" t="s">
        <v>17</v>
      </c>
      <c r="H77">
        <v>9.81</v>
      </c>
      <c r="I77">
        <f>Table1[[#This Row],[Quantité corrigé]]*Table1[[#This Row],[Prix_Unitaire_HT]]</f>
        <v>78.48</v>
      </c>
    </row>
    <row r="78" spans="1:9" x14ac:dyDescent="0.25">
      <c r="A78" t="s">
        <v>144</v>
      </c>
      <c r="B78" t="s">
        <v>143</v>
      </c>
      <c r="C78" s="2" t="str">
        <f t="shared" si="4"/>
        <v>janvier</v>
      </c>
      <c r="D78" t="s">
        <v>66</v>
      </c>
      <c r="E78" t="s">
        <v>1584</v>
      </c>
      <c r="F78">
        <v>10</v>
      </c>
      <c r="G78" t="s">
        <v>17</v>
      </c>
      <c r="H78">
        <v>7.26</v>
      </c>
      <c r="I78">
        <f>Table1[[#This Row],[Quantité corrigé]]*Table1[[#This Row],[Prix_Unitaire_HT]]</f>
        <v>72.599999999999994</v>
      </c>
    </row>
    <row r="79" spans="1:9" x14ac:dyDescent="0.25">
      <c r="A79" t="s">
        <v>145</v>
      </c>
      <c r="B79" t="s">
        <v>143</v>
      </c>
      <c r="C79" s="2" t="str">
        <f t="shared" si="4"/>
        <v>janvier</v>
      </c>
      <c r="D79" t="s">
        <v>69</v>
      </c>
      <c r="E79" t="s">
        <v>1585</v>
      </c>
      <c r="F79">
        <v>8</v>
      </c>
      <c r="G79" t="s">
        <v>39</v>
      </c>
      <c r="H79">
        <v>5.71</v>
      </c>
      <c r="I79">
        <f>Table1[[#This Row],[Quantité corrigé]]*Table1[[#This Row],[Prix_Unitaire_HT]]</f>
        <v>45.68</v>
      </c>
    </row>
    <row r="80" spans="1:9" x14ac:dyDescent="0.25">
      <c r="A80" t="s">
        <v>146</v>
      </c>
      <c r="B80" t="s">
        <v>143</v>
      </c>
      <c r="C80" s="2" t="str">
        <f t="shared" si="4"/>
        <v>janvier</v>
      </c>
      <c r="D80" t="s">
        <v>69</v>
      </c>
      <c r="E80" t="s">
        <v>1586</v>
      </c>
      <c r="F80">
        <v>8</v>
      </c>
      <c r="G80" t="s">
        <v>43</v>
      </c>
      <c r="H80">
        <v>3.96</v>
      </c>
      <c r="I80">
        <f>Table1[[#This Row],[Quantité corrigé]]*Table1[[#This Row],[Prix_Unitaire_HT]]</f>
        <v>31.68</v>
      </c>
    </row>
    <row r="81" spans="1:9" x14ac:dyDescent="0.25">
      <c r="A81" t="s">
        <v>147</v>
      </c>
      <c r="B81" t="s">
        <v>148</v>
      </c>
      <c r="C81" s="2" t="str">
        <f t="shared" si="4"/>
        <v>janvier</v>
      </c>
      <c r="D81" t="s">
        <v>19</v>
      </c>
      <c r="E81" t="s">
        <v>1580</v>
      </c>
      <c r="F81">
        <v>4</v>
      </c>
      <c r="G81" t="s">
        <v>21</v>
      </c>
      <c r="H81">
        <v>4.16</v>
      </c>
      <c r="I81">
        <f>Table1[[#This Row],[Quantité corrigé]]*Table1[[#This Row],[Prix_Unitaire_HT]]</f>
        <v>16.64</v>
      </c>
    </row>
    <row r="82" spans="1:9" x14ac:dyDescent="0.25">
      <c r="A82" t="s">
        <v>149</v>
      </c>
      <c r="B82" t="s">
        <v>148</v>
      </c>
      <c r="C82" s="2" t="str">
        <f t="shared" si="4"/>
        <v>janvier</v>
      </c>
      <c r="D82" t="s">
        <v>19</v>
      </c>
      <c r="E82" t="s">
        <v>1581</v>
      </c>
      <c r="F82">
        <v>4</v>
      </c>
      <c r="G82" t="s">
        <v>25</v>
      </c>
      <c r="H82">
        <v>22.85</v>
      </c>
      <c r="I82">
        <f>Table1[[#This Row],[Quantité corrigé]]*Table1[[#This Row],[Prix_Unitaire_HT]]</f>
        <v>91.4</v>
      </c>
    </row>
    <row r="83" spans="1:9" x14ac:dyDescent="0.25">
      <c r="A83" t="s">
        <v>150</v>
      </c>
      <c r="B83" t="s">
        <v>148</v>
      </c>
      <c r="C83" s="2" t="str">
        <f t="shared" si="4"/>
        <v>janvier</v>
      </c>
      <c r="D83" t="s">
        <v>19</v>
      </c>
      <c r="E83" t="s">
        <v>1582</v>
      </c>
      <c r="F83">
        <v>6</v>
      </c>
      <c r="G83" t="s">
        <v>29</v>
      </c>
      <c r="H83">
        <v>10.55</v>
      </c>
      <c r="I83">
        <f>Table1[[#This Row],[Quantité corrigé]]*Table1[[#This Row],[Prix_Unitaire_HT]]</f>
        <v>63.300000000000004</v>
      </c>
    </row>
    <row r="84" spans="1:9" x14ac:dyDescent="0.25">
      <c r="A84" t="s">
        <v>151</v>
      </c>
      <c r="B84" t="s">
        <v>148</v>
      </c>
      <c r="C84" s="2" t="str">
        <f t="shared" si="4"/>
        <v>janvier</v>
      </c>
      <c r="D84" t="s">
        <v>50</v>
      </c>
      <c r="E84" t="s">
        <v>1587</v>
      </c>
      <c r="F84">
        <v>2</v>
      </c>
      <c r="G84" t="s">
        <v>52</v>
      </c>
      <c r="H84">
        <v>19.2</v>
      </c>
      <c r="I84">
        <f>Table1[[#This Row],[Quantité corrigé]]*Table1[[#This Row],[Prix_Unitaire_HT]]</f>
        <v>38.4</v>
      </c>
    </row>
    <row r="85" spans="1:9" x14ac:dyDescent="0.25">
      <c r="A85" t="s">
        <v>153</v>
      </c>
      <c r="B85" t="s">
        <v>148</v>
      </c>
      <c r="C85" s="2" t="str">
        <f t="shared" si="4"/>
        <v>janvier</v>
      </c>
      <c r="D85" t="s">
        <v>195</v>
      </c>
      <c r="E85" t="s">
        <v>1588</v>
      </c>
      <c r="F85">
        <v>8</v>
      </c>
      <c r="G85" t="s">
        <v>17</v>
      </c>
      <c r="H85">
        <v>8.6199999999999992</v>
      </c>
      <c r="I85">
        <f>Table1[[#This Row],[Quantité corrigé]]*Table1[[#This Row],[Prix_Unitaire_HT]]</f>
        <v>68.959999999999994</v>
      </c>
    </row>
    <row r="86" spans="1:9" x14ac:dyDescent="0.25">
      <c r="A86" t="s">
        <v>155</v>
      </c>
      <c r="B86" t="s">
        <v>156</v>
      </c>
      <c r="C86" s="2" t="str">
        <f t="shared" si="4"/>
        <v>janvier</v>
      </c>
      <c r="D86" t="s">
        <v>61</v>
      </c>
      <c r="E86" t="s">
        <v>1577</v>
      </c>
      <c r="F86">
        <v>4</v>
      </c>
      <c r="G86" t="s">
        <v>11</v>
      </c>
      <c r="H86">
        <v>14.31</v>
      </c>
      <c r="I86">
        <f>Table1[[#This Row],[Quantité corrigé]]*Table1[[#This Row],[Prix_Unitaire_HT]]</f>
        <v>57.24</v>
      </c>
    </row>
    <row r="87" spans="1:9" x14ac:dyDescent="0.25">
      <c r="A87" t="s">
        <v>157</v>
      </c>
      <c r="B87" t="s">
        <v>156</v>
      </c>
      <c r="C87" s="2" t="str">
        <f t="shared" si="4"/>
        <v>janvier</v>
      </c>
      <c r="D87" t="s">
        <v>61</v>
      </c>
      <c r="E87" t="s">
        <v>1578</v>
      </c>
      <c r="F87">
        <v>6</v>
      </c>
      <c r="G87" t="s">
        <v>11</v>
      </c>
      <c r="H87">
        <v>13.84</v>
      </c>
      <c r="I87">
        <f>Table1[[#This Row],[Quantité corrigé]]*Table1[[#This Row],[Prix_Unitaire_HT]]</f>
        <v>83.039999999999992</v>
      </c>
    </row>
    <row r="88" spans="1:9" x14ac:dyDescent="0.25">
      <c r="A88" t="s">
        <v>158</v>
      </c>
      <c r="B88" t="s">
        <v>156</v>
      </c>
      <c r="C88" s="2" t="str">
        <f t="shared" si="4"/>
        <v>janvier</v>
      </c>
      <c r="D88" t="s">
        <v>61</v>
      </c>
      <c r="E88" t="s">
        <v>1579</v>
      </c>
      <c r="F88">
        <v>4</v>
      </c>
      <c r="G88" t="s">
        <v>17</v>
      </c>
      <c r="H88">
        <v>1.25</v>
      </c>
      <c r="I88">
        <f>Table1[[#This Row],[Quantité corrigé]]*Table1[[#This Row],[Prix_Unitaire_HT]]</f>
        <v>5</v>
      </c>
    </row>
    <row r="89" spans="1:9" x14ac:dyDescent="0.25">
      <c r="A89" t="s">
        <v>159</v>
      </c>
      <c r="B89" t="s">
        <v>160</v>
      </c>
      <c r="C89" s="2" t="str">
        <f t="shared" si="4"/>
        <v>janvier</v>
      </c>
      <c r="D89" t="s">
        <v>66</v>
      </c>
      <c r="E89" t="s">
        <v>1583</v>
      </c>
      <c r="F89">
        <v>6</v>
      </c>
      <c r="G89" t="s">
        <v>17</v>
      </c>
      <c r="H89">
        <v>10.23</v>
      </c>
      <c r="I89">
        <f>Table1[[#This Row],[Quantité corrigé]]*Table1[[#This Row],[Prix_Unitaire_HT]]</f>
        <v>61.38</v>
      </c>
    </row>
    <row r="90" spans="1:9" x14ac:dyDescent="0.25">
      <c r="A90" t="s">
        <v>161</v>
      </c>
      <c r="B90" t="s">
        <v>160</v>
      </c>
      <c r="C90" s="2" t="str">
        <f t="shared" si="4"/>
        <v>janvier</v>
      </c>
      <c r="D90" t="s">
        <v>66</v>
      </c>
      <c r="E90" t="s">
        <v>1584</v>
      </c>
      <c r="F90">
        <v>8</v>
      </c>
      <c r="G90" t="s">
        <v>17</v>
      </c>
      <c r="H90">
        <v>7.08</v>
      </c>
      <c r="I90">
        <f>Table1[[#This Row],[Quantité corrigé]]*Table1[[#This Row],[Prix_Unitaire_HT]]</f>
        <v>56.64</v>
      </c>
    </row>
    <row r="91" spans="1:9" x14ac:dyDescent="0.25">
      <c r="A91" t="s">
        <v>162</v>
      </c>
      <c r="B91" t="s">
        <v>160</v>
      </c>
      <c r="C91" s="2" t="str">
        <f t="shared" si="4"/>
        <v>janvier</v>
      </c>
      <c r="D91" t="s">
        <v>69</v>
      </c>
      <c r="E91" t="s">
        <v>1585</v>
      </c>
      <c r="F91">
        <v>12</v>
      </c>
      <c r="G91" t="s">
        <v>39</v>
      </c>
      <c r="H91">
        <v>5.81</v>
      </c>
      <c r="I91">
        <f>Table1[[#This Row],[Quantité corrigé]]*Table1[[#This Row],[Prix_Unitaire_HT]]</f>
        <v>69.72</v>
      </c>
    </row>
    <row r="92" spans="1:9" x14ac:dyDescent="0.25">
      <c r="A92" t="s">
        <v>163</v>
      </c>
      <c r="B92" t="s">
        <v>160</v>
      </c>
      <c r="C92" s="2" t="str">
        <f t="shared" si="4"/>
        <v>janvier</v>
      </c>
      <c r="D92" t="s">
        <v>69</v>
      </c>
      <c r="E92" t="s">
        <v>1586</v>
      </c>
      <c r="F92">
        <v>5</v>
      </c>
      <c r="G92" t="s">
        <v>43</v>
      </c>
      <c r="H92">
        <v>4.04</v>
      </c>
      <c r="I92">
        <f>Table1[[#This Row],[Quantité corrigé]]*Table1[[#This Row],[Prix_Unitaire_HT]]</f>
        <v>20.2</v>
      </c>
    </row>
    <row r="93" spans="1:9" x14ac:dyDescent="0.25">
      <c r="A93" t="s">
        <v>164</v>
      </c>
      <c r="B93" t="s">
        <v>165</v>
      </c>
      <c r="C93" s="2" t="str">
        <f t="shared" si="4"/>
        <v>janvier</v>
      </c>
      <c r="D93" t="s">
        <v>195</v>
      </c>
      <c r="E93" t="s">
        <v>1588</v>
      </c>
      <c r="F93">
        <v>8</v>
      </c>
      <c r="G93" t="s">
        <v>17</v>
      </c>
      <c r="H93">
        <v>8.6199999999999992</v>
      </c>
      <c r="I93">
        <f>Table1[[#This Row],[Quantité corrigé]]*Table1[[#This Row],[Prix_Unitaire_HT]]</f>
        <v>68.959999999999994</v>
      </c>
    </row>
    <row r="94" spans="1:9" x14ac:dyDescent="0.25">
      <c r="A94" t="s">
        <v>166</v>
      </c>
      <c r="B94" t="s">
        <v>167</v>
      </c>
      <c r="C94" s="2" t="str">
        <f t="shared" si="4"/>
        <v>janvier</v>
      </c>
      <c r="D94" t="s">
        <v>61</v>
      </c>
      <c r="E94" t="s">
        <v>1577</v>
      </c>
      <c r="F94">
        <v>6</v>
      </c>
      <c r="G94" t="s">
        <v>11</v>
      </c>
      <c r="H94">
        <v>14.42</v>
      </c>
      <c r="I94">
        <f>Table1[[#This Row],[Quantité corrigé]]*Table1[[#This Row],[Prix_Unitaire_HT]]</f>
        <v>86.52</v>
      </c>
    </row>
    <row r="95" spans="1:9" x14ac:dyDescent="0.25">
      <c r="A95" t="s">
        <v>168</v>
      </c>
      <c r="B95" t="s">
        <v>167</v>
      </c>
      <c r="C95" s="2" t="str">
        <f t="shared" si="4"/>
        <v>janvier</v>
      </c>
      <c r="D95" t="s">
        <v>61</v>
      </c>
      <c r="E95" t="s">
        <v>1578</v>
      </c>
      <c r="F95">
        <v>3</v>
      </c>
      <c r="G95" t="s">
        <v>11</v>
      </c>
      <c r="H95">
        <v>13.26</v>
      </c>
      <c r="I95">
        <f>Table1[[#This Row],[Quantité corrigé]]*Table1[[#This Row],[Prix_Unitaire_HT]]</f>
        <v>39.78</v>
      </c>
    </row>
    <row r="96" spans="1:9" x14ac:dyDescent="0.25">
      <c r="A96" t="s">
        <v>169</v>
      </c>
      <c r="B96" t="s">
        <v>167</v>
      </c>
      <c r="C96" s="2" t="str">
        <f t="shared" si="4"/>
        <v>janvier</v>
      </c>
      <c r="D96" t="s">
        <v>61</v>
      </c>
      <c r="E96" t="s">
        <v>1579</v>
      </c>
      <c r="F96">
        <v>6</v>
      </c>
      <c r="G96" t="s">
        <v>17</v>
      </c>
      <c r="H96">
        <v>1.24</v>
      </c>
      <c r="I96">
        <f>Table1[[#This Row],[Quantité corrigé]]*Table1[[#This Row],[Prix_Unitaire_HT]]</f>
        <v>7.4399999999999995</v>
      </c>
    </row>
    <row r="97" spans="1:9" x14ac:dyDescent="0.25">
      <c r="A97" t="s">
        <v>170</v>
      </c>
      <c r="B97" t="s">
        <v>167</v>
      </c>
      <c r="C97" s="2" t="str">
        <f t="shared" si="4"/>
        <v>janvier</v>
      </c>
      <c r="D97" t="s">
        <v>19</v>
      </c>
      <c r="E97" t="s">
        <v>1580</v>
      </c>
      <c r="F97">
        <v>4</v>
      </c>
      <c r="G97" t="s">
        <v>21</v>
      </c>
      <c r="H97">
        <v>4.1900000000000004</v>
      </c>
      <c r="I97">
        <f>Table1[[#This Row],[Quantité corrigé]]*Table1[[#This Row],[Prix_Unitaire_HT]]</f>
        <v>16.760000000000002</v>
      </c>
    </row>
    <row r="98" spans="1:9" x14ac:dyDescent="0.25">
      <c r="A98" t="s">
        <v>171</v>
      </c>
      <c r="B98" t="s">
        <v>167</v>
      </c>
      <c r="C98" s="2" t="str">
        <f t="shared" si="4"/>
        <v>janvier</v>
      </c>
      <c r="D98" t="s">
        <v>19</v>
      </c>
      <c r="E98" t="s">
        <v>1581</v>
      </c>
      <c r="F98">
        <v>4</v>
      </c>
      <c r="G98" t="s">
        <v>25</v>
      </c>
      <c r="H98">
        <v>22.68</v>
      </c>
      <c r="I98">
        <f>Table1[[#This Row],[Quantité corrigé]]*Table1[[#This Row],[Prix_Unitaire_HT]]</f>
        <v>90.72</v>
      </c>
    </row>
    <row r="99" spans="1:9" x14ac:dyDescent="0.25">
      <c r="A99" t="s">
        <v>172</v>
      </c>
      <c r="B99" t="s">
        <v>167</v>
      </c>
      <c r="C99" s="2" t="str">
        <f t="shared" si="4"/>
        <v>janvier</v>
      </c>
      <c r="D99" t="s">
        <v>19</v>
      </c>
      <c r="E99" t="s">
        <v>1582</v>
      </c>
      <c r="F99">
        <v>10</v>
      </c>
      <c r="G99" t="s">
        <v>29</v>
      </c>
      <c r="H99">
        <v>9.9600000000000009</v>
      </c>
      <c r="I99">
        <f>Table1[[#This Row],[Quantité corrigé]]*Table1[[#This Row],[Prix_Unitaire_HT]]</f>
        <v>99.600000000000009</v>
      </c>
    </row>
    <row r="100" spans="1:9" x14ac:dyDescent="0.25">
      <c r="A100" t="s">
        <v>173</v>
      </c>
      <c r="B100" t="s">
        <v>174</v>
      </c>
      <c r="C100" s="2" t="str">
        <f t="shared" si="4"/>
        <v>janvier</v>
      </c>
      <c r="D100" t="s">
        <v>66</v>
      </c>
      <c r="E100" t="s">
        <v>1583</v>
      </c>
      <c r="F100">
        <v>6</v>
      </c>
      <c r="G100" t="s">
        <v>17</v>
      </c>
      <c r="H100">
        <v>9.6199999999999992</v>
      </c>
      <c r="I100">
        <f>Table1[[#This Row],[Quantité corrigé]]*Table1[[#This Row],[Prix_Unitaire_HT]]</f>
        <v>57.72</v>
      </c>
    </row>
    <row r="101" spans="1:9" x14ac:dyDescent="0.25">
      <c r="A101" t="s">
        <v>175</v>
      </c>
      <c r="B101" t="s">
        <v>174</v>
      </c>
      <c r="C101" s="2" t="str">
        <f t="shared" si="4"/>
        <v>janvier</v>
      </c>
      <c r="D101" t="s">
        <v>66</v>
      </c>
      <c r="E101" t="s">
        <v>1584</v>
      </c>
      <c r="F101">
        <v>6</v>
      </c>
      <c r="G101" t="s">
        <v>17</v>
      </c>
      <c r="H101">
        <v>7.4</v>
      </c>
      <c r="I101">
        <f>Table1[[#This Row],[Quantité corrigé]]*Table1[[#This Row],[Prix_Unitaire_HT]]</f>
        <v>44.400000000000006</v>
      </c>
    </row>
    <row r="102" spans="1:9" x14ac:dyDescent="0.25">
      <c r="A102" t="s">
        <v>176</v>
      </c>
      <c r="B102" t="s">
        <v>174</v>
      </c>
      <c r="C102" s="2" t="str">
        <f t="shared" si="4"/>
        <v>janvier</v>
      </c>
      <c r="D102" t="s">
        <v>69</v>
      </c>
      <c r="E102" t="s">
        <v>1585</v>
      </c>
      <c r="F102">
        <v>5</v>
      </c>
      <c r="G102" t="s">
        <v>39</v>
      </c>
      <c r="H102">
        <v>5.83</v>
      </c>
      <c r="I102">
        <f>Table1[[#This Row],[Quantité corrigé]]*Table1[[#This Row],[Prix_Unitaire_HT]]</f>
        <v>29.15</v>
      </c>
    </row>
    <row r="103" spans="1:9" x14ac:dyDescent="0.25">
      <c r="A103" t="s">
        <v>177</v>
      </c>
      <c r="B103" t="s">
        <v>174</v>
      </c>
      <c r="C103" s="2" t="str">
        <f t="shared" si="4"/>
        <v>janvier</v>
      </c>
      <c r="D103" t="s">
        <v>69</v>
      </c>
      <c r="E103" t="s">
        <v>1586</v>
      </c>
      <c r="F103">
        <v>10</v>
      </c>
      <c r="G103" t="s">
        <v>43</v>
      </c>
      <c r="H103">
        <v>3.92</v>
      </c>
      <c r="I103">
        <f>Table1[[#This Row],[Quantité corrigé]]*Table1[[#This Row],[Prix_Unitaire_HT]]</f>
        <v>39.200000000000003</v>
      </c>
    </row>
    <row r="104" spans="1:9" x14ac:dyDescent="0.25">
      <c r="A104" t="s">
        <v>178</v>
      </c>
      <c r="B104" t="s">
        <v>179</v>
      </c>
      <c r="C104" s="2" t="str">
        <f t="shared" si="4"/>
        <v>janvier</v>
      </c>
      <c r="D104" t="s">
        <v>19</v>
      </c>
      <c r="E104" t="s">
        <v>1580</v>
      </c>
      <c r="F104">
        <v>10</v>
      </c>
      <c r="G104" t="s">
        <v>21</v>
      </c>
      <c r="H104">
        <v>4.3600000000000003</v>
      </c>
      <c r="I104">
        <f>Table1[[#This Row],[Quantité corrigé]]*Table1[[#This Row],[Prix_Unitaire_HT]]</f>
        <v>43.6</v>
      </c>
    </row>
    <row r="105" spans="1:9" x14ac:dyDescent="0.25">
      <c r="A105" t="s">
        <v>180</v>
      </c>
      <c r="B105" t="s">
        <v>179</v>
      </c>
      <c r="C105" s="2" t="str">
        <f t="shared" si="4"/>
        <v>janvier</v>
      </c>
      <c r="D105" t="s">
        <v>19</v>
      </c>
      <c r="E105" t="s">
        <v>1581</v>
      </c>
      <c r="F105">
        <v>8</v>
      </c>
      <c r="G105" t="s">
        <v>25</v>
      </c>
      <c r="H105">
        <v>22.78</v>
      </c>
      <c r="I105">
        <f>Table1[[#This Row],[Quantité corrigé]]*Table1[[#This Row],[Prix_Unitaire_HT]]</f>
        <v>182.24</v>
      </c>
    </row>
    <row r="106" spans="1:9" x14ac:dyDescent="0.25">
      <c r="A106" t="s">
        <v>181</v>
      </c>
      <c r="B106" t="s">
        <v>179</v>
      </c>
      <c r="C106" s="2" t="str">
        <f t="shared" si="4"/>
        <v>janvier</v>
      </c>
      <c r="D106" t="s">
        <v>19</v>
      </c>
      <c r="E106" t="s">
        <v>1582</v>
      </c>
      <c r="F106">
        <v>6</v>
      </c>
      <c r="G106" t="s">
        <v>29</v>
      </c>
      <c r="H106">
        <v>9.43</v>
      </c>
      <c r="I106">
        <f>Table1[[#This Row],[Quantité corrigé]]*Table1[[#This Row],[Prix_Unitaire_HT]]</f>
        <v>56.58</v>
      </c>
    </row>
    <row r="107" spans="1:9" x14ac:dyDescent="0.25">
      <c r="A107" t="s">
        <v>182</v>
      </c>
      <c r="B107" t="s">
        <v>179</v>
      </c>
      <c r="C107" s="2" t="str">
        <f t="shared" si="4"/>
        <v>janvier</v>
      </c>
      <c r="D107" t="s">
        <v>50</v>
      </c>
      <c r="E107" t="s">
        <v>1587</v>
      </c>
      <c r="F107">
        <v>2</v>
      </c>
      <c r="G107" t="s">
        <v>52</v>
      </c>
      <c r="H107">
        <v>19.100000000000001</v>
      </c>
      <c r="I107">
        <f>Table1[[#This Row],[Quantité corrigé]]*Table1[[#This Row],[Prix_Unitaire_HT]]</f>
        <v>38.200000000000003</v>
      </c>
    </row>
    <row r="108" spans="1:9" x14ac:dyDescent="0.25">
      <c r="A108" t="s">
        <v>183</v>
      </c>
      <c r="B108" t="s">
        <v>179</v>
      </c>
      <c r="C108" s="2" t="str">
        <f t="shared" si="4"/>
        <v>janvier</v>
      </c>
      <c r="D108" t="s">
        <v>195</v>
      </c>
      <c r="E108" t="s">
        <v>1588</v>
      </c>
      <c r="F108">
        <v>4</v>
      </c>
      <c r="G108" t="s">
        <v>17</v>
      </c>
      <c r="H108">
        <v>9.77</v>
      </c>
      <c r="I108">
        <f>Table1[[#This Row],[Quantité corrigé]]*Table1[[#This Row],[Prix_Unitaire_HT]]</f>
        <v>39.08</v>
      </c>
    </row>
    <row r="109" spans="1:9" x14ac:dyDescent="0.25">
      <c r="A109" t="s">
        <v>184</v>
      </c>
      <c r="B109" t="s">
        <v>185</v>
      </c>
      <c r="C109" s="2" t="str">
        <f t="shared" si="4"/>
        <v>février</v>
      </c>
      <c r="D109" t="s">
        <v>61</v>
      </c>
      <c r="E109" t="s">
        <v>1577</v>
      </c>
      <c r="F109">
        <v>4</v>
      </c>
      <c r="G109" t="s">
        <v>11</v>
      </c>
      <c r="H109">
        <v>14.9</v>
      </c>
      <c r="I109">
        <f>Table1[[#This Row],[Quantité corrigé]]*Table1[[#This Row],[Prix_Unitaire_HT]]</f>
        <v>59.6</v>
      </c>
    </row>
    <row r="110" spans="1:9" x14ac:dyDescent="0.25">
      <c r="A110" t="s">
        <v>186</v>
      </c>
      <c r="B110" t="s">
        <v>185</v>
      </c>
      <c r="C110" s="2" t="str">
        <f t="shared" si="4"/>
        <v>février</v>
      </c>
      <c r="D110" t="s">
        <v>61</v>
      </c>
      <c r="E110" t="s">
        <v>1578</v>
      </c>
      <c r="F110">
        <v>4</v>
      </c>
      <c r="G110" t="s">
        <v>11</v>
      </c>
      <c r="H110">
        <v>12.98</v>
      </c>
      <c r="I110">
        <f>Table1[[#This Row],[Quantité corrigé]]*Table1[[#This Row],[Prix_Unitaire_HT]]</f>
        <v>51.92</v>
      </c>
    </row>
    <row r="111" spans="1:9" x14ac:dyDescent="0.25">
      <c r="A111" t="s">
        <v>187</v>
      </c>
      <c r="B111" t="s">
        <v>185</v>
      </c>
      <c r="C111" s="2" t="str">
        <f t="shared" si="4"/>
        <v>février</v>
      </c>
      <c r="D111" t="s">
        <v>61</v>
      </c>
      <c r="E111" t="s">
        <v>1579</v>
      </c>
      <c r="F111">
        <v>6</v>
      </c>
      <c r="G111" t="s">
        <v>17</v>
      </c>
      <c r="H111">
        <v>1.19</v>
      </c>
      <c r="I111">
        <f>Table1[[#This Row],[Quantité corrigé]]*Table1[[#This Row],[Prix_Unitaire_HT]]</f>
        <v>7.14</v>
      </c>
    </row>
    <row r="112" spans="1:9" x14ac:dyDescent="0.25">
      <c r="A112" t="s">
        <v>188</v>
      </c>
      <c r="B112" t="s">
        <v>189</v>
      </c>
      <c r="C112" s="2" t="str">
        <f t="shared" si="4"/>
        <v>février</v>
      </c>
      <c r="D112" t="s">
        <v>66</v>
      </c>
      <c r="E112" t="s">
        <v>1583</v>
      </c>
      <c r="F112">
        <v>6</v>
      </c>
      <c r="G112" t="s">
        <v>17</v>
      </c>
      <c r="H112">
        <v>8.4700000000000006</v>
      </c>
      <c r="I112">
        <f>Table1[[#This Row],[Quantité corrigé]]*Table1[[#This Row],[Prix_Unitaire_HT]]</f>
        <v>50.820000000000007</v>
      </c>
    </row>
    <row r="113" spans="1:9" x14ac:dyDescent="0.25">
      <c r="A113" t="s">
        <v>190</v>
      </c>
      <c r="B113" t="s">
        <v>189</v>
      </c>
      <c r="C113" s="2" t="str">
        <f t="shared" si="4"/>
        <v>février</v>
      </c>
      <c r="D113" t="s">
        <v>66</v>
      </c>
      <c r="E113" t="s">
        <v>1584</v>
      </c>
      <c r="F113">
        <v>10</v>
      </c>
      <c r="G113" t="s">
        <v>17</v>
      </c>
      <c r="H113">
        <v>7.15</v>
      </c>
      <c r="I113">
        <f>Table1[[#This Row],[Quantité corrigé]]*Table1[[#This Row],[Prix_Unitaire_HT]]</f>
        <v>71.5</v>
      </c>
    </row>
    <row r="114" spans="1:9" x14ac:dyDescent="0.25">
      <c r="A114" t="s">
        <v>191</v>
      </c>
      <c r="B114" t="s">
        <v>189</v>
      </c>
      <c r="C114" s="2" t="str">
        <f t="shared" si="4"/>
        <v>février</v>
      </c>
      <c r="D114" t="s">
        <v>69</v>
      </c>
      <c r="E114" t="s">
        <v>1585</v>
      </c>
      <c r="F114">
        <v>12</v>
      </c>
      <c r="G114" t="s">
        <v>39</v>
      </c>
      <c r="H114">
        <v>6.01</v>
      </c>
      <c r="I114">
        <f>Table1[[#This Row],[Quantité corrigé]]*Table1[[#This Row],[Prix_Unitaire_HT]]</f>
        <v>72.12</v>
      </c>
    </row>
    <row r="115" spans="1:9" x14ac:dyDescent="0.25">
      <c r="A115" t="s">
        <v>192</v>
      </c>
      <c r="B115" t="s">
        <v>189</v>
      </c>
      <c r="C115" s="2" t="str">
        <f t="shared" si="4"/>
        <v>février</v>
      </c>
      <c r="D115" t="s">
        <v>69</v>
      </c>
      <c r="E115" t="s">
        <v>1586</v>
      </c>
      <c r="F115">
        <v>12</v>
      </c>
      <c r="G115" t="s">
        <v>43</v>
      </c>
      <c r="H115">
        <v>4.0199999999999996</v>
      </c>
      <c r="I115">
        <f>Table1[[#This Row],[Quantité corrigé]]*Table1[[#This Row],[Prix_Unitaire_HT]]</f>
        <v>48.239999999999995</v>
      </c>
    </row>
    <row r="116" spans="1:9" x14ac:dyDescent="0.25">
      <c r="A116" t="s">
        <v>193</v>
      </c>
      <c r="B116" t="s">
        <v>194</v>
      </c>
      <c r="C116" s="2" t="str">
        <f t="shared" si="4"/>
        <v>février</v>
      </c>
      <c r="D116" t="s">
        <v>195</v>
      </c>
      <c r="E116" t="s">
        <v>1588</v>
      </c>
      <c r="F116">
        <v>6</v>
      </c>
      <c r="G116" t="s">
        <v>17</v>
      </c>
      <c r="H116">
        <v>9.01</v>
      </c>
      <c r="I116">
        <f>Table1[[#This Row],[Quantité corrigé]]*Table1[[#This Row],[Prix_Unitaire_HT]]</f>
        <v>54.06</v>
      </c>
    </row>
    <row r="117" spans="1:9" x14ac:dyDescent="0.25">
      <c r="A117" t="s">
        <v>196</v>
      </c>
      <c r="B117" t="s">
        <v>197</v>
      </c>
      <c r="C117" s="2" t="str">
        <f t="shared" si="4"/>
        <v>février</v>
      </c>
      <c r="D117" t="s">
        <v>61</v>
      </c>
      <c r="E117" t="s">
        <v>1577</v>
      </c>
      <c r="F117">
        <v>6</v>
      </c>
      <c r="G117" t="s">
        <v>11</v>
      </c>
      <c r="H117">
        <v>14.78</v>
      </c>
      <c r="I117">
        <f>Table1[[#This Row],[Quantité corrigé]]*Table1[[#This Row],[Prix_Unitaire_HT]]</f>
        <v>88.679999999999993</v>
      </c>
    </row>
    <row r="118" spans="1:9" x14ac:dyDescent="0.25">
      <c r="A118" t="s">
        <v>198</v>
      </c>
      <c r="B118" t="s">
        <v>197</v>
      </c>
      <c r="C118" s="2" t="str">
        <f t="shared" si="4"/>
        <v>février</v>
      </c>
      <c r="D118" t="s">
        <v>61</v>
      </c>
      <c r="E118" t="s">
        <v>1578</v>
      </c>
      <c r="F118">
        <v>5</v>
      </c>
      <c r="G118" t="s">
        <v>11</v>
      </c>
      <c r="H118">
        <v>13.08</v>
      </c>
      <c r="I118">
        <f>Table1[[#This Row],[Quantité corrigé]]*Table1[[#This Row],[Prix_Unitaire_HT]]</f>
        <v>65.400000000000006</v>
      </c>
    </row>
    <row r="119" spans="1:9" x14ac:dyDescent="0.25">
      <c r="A119" t="s">
        <v>199</v>
      </c>
      <c r="B119" t="s">
        <v>197</v>
      </c>
      <c r="C119" s="2" t="str">
        <f t="shared" si="4"/>
        <v>février</v>
      </c>
      <c r="D119" t="s">
        <v>61</v>
      </c>
      <c r="E119" t="s">
        <v>1579</v>
      </c>
      <c r="F119">
        <v>3</v>
      </c>
      <c r="G119" t="s">
        <v>17</v>
      </c>
      <c r="H119">
        <v>1.18</v>
      </c>
      <c r="I119">
        <f>Table1[[#This Row],[Quantité corrigé]]*Table1[[#This Row],[Prix_Unitaire_HT]]</f>
        <v>3.54</v>
      </c>
    </row>
    <row r="120" spans="1:9" x14ac:dyDescent="0.25">
      <c r="A120" t="s">
        <v>200</v>
      </c>
      <c r="B120" t="s">
        <v>197</v>
      </c>
      <c r="C120" s="2" t="str">
        <f t="shared" si="4"/>
        <v>février</v>
      </c>
      <c r="D120" t="s">
        <v>19</v>
      </c>
      <c r="E120" t="s">
        <v>1580</v>
      </c>
      <c r="F120">
        <v>4</v>
      </c>
      <c r="G120" t="s">
        <v>21</v>
      </c>
      <c r="H120">
        <v>4.38</v>
      </c>
      <c r="I120">
        <f>Table1[[#This Row],[Quantité corrigé]]*Table1[[#This Row],[Prix_Unitaire_HT]]</f>
        <v>17.52</v>
      </c>
    </row>
    <row r="121" spans="1:9" x14ac:dyDescent="0.25">
      <c r="A121" t="s">
        <v>201</v>
      </c>
      <c r="B121" t="s">
        <v>197</v>
      </c>
      <c r="C121" s="2" t="str">
        <f t="shared" si="4"/>
        <v>février</v>
      </c>
      <c r="D121" t="s">
        <v>19</v>
      </c>
      <c r="E121" t="s">
        <v>1581</v>
      </c>
      <c r="F121">
        <v>10</v>
      </c>
      <c r="G121" t="s">
        <v>25</v>
      </c>
      <c r="H121">
        <v>22.45</v>
      </c>
      <c r="I121">
        <f>Table1[[#This Row],[Quantité corrigé]]*Table1[[#This Row],[Prix_Unitaire_HT]]</f>
        <v>224.5</v>
      </c>
    </row>
    <row r="122" spans="1:9" x14ac:dyDescent="0.25">
      <c r="A122" t="s">
        <v>202</v>
      </c>
      <c r="B122" t="s">
        <v>197</v>
      </c>
      <c r="C122" s="2" t="str">
        <f t="shared" si="4"/>
        <v>février</v>
      </c>
      <c r="D122" t="s">
        <v>19</v>
      </c>
      <c r="E122" t="s">
        <v>1582</v>
      </c>
      <c r="F122">
        <v>4</v>
      </c>
      <c r="G122" t="s">
        <v>29</v>
      </c>
      <c r="H122">
        <v>9.81</v>
      </c>
      <c r="I122">
        <f>Table1[[#This Row],[Quantité corrigé]]*Table1[[#This Row],[Prix_Unitaire_HT]]</f>
        <v>39.24</v>
      </c>
    </row>
    <row r="123" spans="1:9" x14ac:dyDescent="0.25">
      <c r="A123" t="s">
        <v>203</v>
      </c>
      <c r="B123" t="s">
        <v>204</v>
      </c>
      <c r="C123" s="2" t="str">
        <f t="shared" si="4"/>
        <v>février</v>
      </c>
      <c r="D123" t="s">
        <v>66</v>
      </c>
      <c r="E123" t="s">
        <v>1583</v>
      </c>
      <c r="F123">
        <v>8</v>
      </c>
      <c r="G123" t="s">
        <v>17</v>
      </c>
      <c r="H123">
        <v>9.4499999999999993</v>
      </c>
      <c r="I123">
        <f>Table1[[#This Row],[Quantité corrigé]]*Table1[[#This Row],[Prix_Unitaire_HT]]</f>
        <v>75.599999999999994</v>
      </c>
    </row>
    <row r="124" spans="1:9" x14ac:dyDescent="0.25">
      <c r="A124" t="s">
        <v>205</v>
      </c>
      <c r="B124" t="s">
        <v>204</v>
      </c>
      <c r="C124" s="2" t="str">
        <f t="shared" si="4"/>
        <v>février</v>
      </c>
      <c r="D124" t="s">
        <v>66</v>
      </c>
      <c r="E124" t="s">
        <v>1584</v>
      </c>
      <c r="F124">
        <v>10</v>
      </c>
      <c r="G124" t="s">
        <v>17</v>
      </c>
      <c r="H124">
        <v>7.61</v>
      </c>
      <c r="I124">
        <f>Table1[[#This Row],[Quantité corrigé]]*Table1[[#This Row],[Prix_Unitaire_HT]]</f>
        <v>76.100000000000009</v>
      </c>
    </row>
    <row r="125" spans="1:9" x14ac:dyDescent="0.25">
      <c r="A125" t="s">
        <v>206</v>
      </c>
      <c r="B125" t="s">
        <v>204</v>
      </c>
      <c r="C125" s="2" t="str">
        <f t="shared" si="4"/>
        <v>février</v>
      </c>
      <c r="D125" t="s">
        <v>69</v>
      </c>
      <c r="E125" t="s">
        <v>1585</v>
      </c>
      <c r="F125">
        <v>10</v>
      </c>
      <c r="G125" t="s">
        <v>39</v>
      </c>
      <c r="H125">
        <v>5.85</v>
      </c>
      <c r="I125">
        <f>Table1[[#This Row],[Quantité corrigé]]*Table1[[#This Row],[Prix_Unitaire_HT]]</f>
        <v>58.5</v>
      </c>
    </row>
    <row r="126" spans="1:9" x14ac:dyDescent="0.25">
      <c r="A126" t="s">
        <v>207</v>
      </c>
      <c r="B126" t="s">
        <v>204</v>
      </c>
      <c r="C126" s="2" t="str">
        <f t="shared" si="4"/>
        <v>février</v>
      </c>
      <c r="D126" t="s">
        <v>69</v>
      </c>
      <c r="E126" t="s">
        <v>1586</v>
      </c>
      <c r="F126">
        <v>12</v>
      </c>
      <c r="G126" t="s">
        <v>43</v>
      </c>
      <c r="H126">
        <v>3.91</v>
      </c>
      <c r="I126">
        <f>Table1[[#This Row],[Quantité corrigé]]*Table1[[#This Row],[Prix_Unitaire_HT]]</f>
        <v>46.92</v>
      </c>
    </row>
    <row r="127" spans="1:9" x14ac:dyDescent="0.25">
      <c r="A127" t="s">
        <v>208</v>
      </c>
      <c r="B127" t="s">
        <v>209</v>
      </c>
      <c r="C127" s="2" t="str">
        <f t="shared" si="4"/>
        <v>février</v>
      </c>
      <c r="D127" t="s">
        <v>19</v>
      </c>
      <c r="E127" t="s">
        <v>1580</v>
      </c>
      <c r="F127">
        <v>4</v>
      </c>
      <c r="G127" t="s">
        <v>21</v>
      </c>
      <c r="H127">
        <v>4.49</v>
      </c>
      <c r="I127">
        <f>Table1[[#This Row],[Quantité corrigé]]*Table1[[#This Row],[Prix_Unitaire_HT]]</f>
        <v>17.96</v>
      </c>
    </row>
    <row r="128" spans="1:9" x14ac:dyDescent="0.25">
      <c r="A128" t="s">
        <v>210</v>
      </c>
      <c r="B128" t="s">
        <v>209</v>
      </c>
      <c r="C128" s="2" t="str">
        <f t="shared" si="4"/>
        <v>février</v>
      </c>
      <c r="D128" t="s">
        <v>19</v>
      </c>
      <c r="E128" t="s">
        <v>1581</v>
      </c>
      <c r="F128">
        <v>10</v>
      </c>
      <c r="G128" t="s">
        <v>25</v>
      </c>
      <c r="H128">
        <v>21.14</v>
      </c>
      <c r="I128">
        <f>Table1[[#This Row],[Quantité corrigé]]*Table1[[#This Row],[Prix_Unitaire_HT]]</f>
        <v>211.4</v>
      </c>
    </row>
    <row r="129" spans="1:9" x14ac:dyDescent="0.25">
      <c r="A129" t="s">
        <v>211</v>
      </c>
      <c r="B129" t="s">
        <v>209</v>
      </c>
      <c r="C129" s="2" t="str">
        <f t="shared" si="4"/>
        <v>février</v>
      </c>
      <c r="D129" t="s">
        <v>19</v>
      </c>
      <c r="E129" t="s">
        <v>1582</v>
      </c>
      <c r="F129">
        <v>8</v>
      </c>
      <c r="G129" t="s">
        <v>29</v>
      </c>
      <c r="H129">
        <v>9.5399999999999991</v>
      </c>
      <c r="I129">
        <f>Table1[[#This Row],[Quantité corrigé]]*Table1[[#This Row],[Prix_Unitaire_HT]]</f>
        <v>76.319999999999993</v>
      </c>
    </row>
    <row r="130" spans="1:9" x14ac:dyDescent="0.25">
      <c r="A130" t="s">
        <v>212</v>
      </c>
      <c r="B130" t="s">
        <v>209</v>
      </c>
      <c r="C130" s="2" t="str">
        <f t="shared" ref="C130:C193" si="5">TEXT(DATE(2024,MID(B130,4,2),_xlfn.TEXTBEFORE(B130,"/",1)),"mmmm")</f>
        <v>février</v>
      </c>
      <c r="D130" t="s">
        <v>50</v>
      </c>
      <c r="E130" t="s">
        <v>1587</v>
      </c>
      <c r="F130">
        <v>3</v>
      </c>
      <c r="G130" t="s">
        <v>52</v>
      </c>
      <c r="H130">
        <v>18.52</v>
      </c>
      <c r="I130">
        <f>Table1[[#This Row],[Quantité corrigé]]*Table1[[#This Row],[Prix_Unitaire_HT]]</f>
        <v>55.56</v>
      </c>
    </row>
    <row r="131" spans="1:9" x14ac:dyDescent="0.25">
      <c r="A131" t="s">
        <v>213</v>
      </c>
      <c r="B131" t="s">
        <v>209</v>
      </c>
      <c r="C131" s="2" t="str">
        <f t="shared" si="5"/>
        <v>février</v>
      </c>
      <c r="D131" t="s">
        <v>195</v>
      </c>
      <c r="E131" t="s">
        <v>1588</v>
      </c>
      <c r="F131">
        <v>10</v>
      </c>
      <c r="G131" t="s">
        <v>17</v>
      </c>
      <c r="H131">
        <v>8.76</v>
      </c>
      <c r="I131">
        <f>Table1[[#This Row],[Quantité corrigé]]*Table1[[#This Row],[Prix_Unitaire_HT]]</f>
        <v>87.6</v>
      </c>
    </row>
    <row r="132" spans="1:9" x14ac:dyDescent="0.25">
      <c r="A132" t="s">
        <v>214</v>
      </c>
      <c r="B132" t="s">
        <v>215</v>
      </c>
      <c r="C132" s="2" t="str">
        <f t="shared" si="5"/>
        <v>février</v>
      </c>
      <c r="D132" t="s">
        <v>61</v>
      </c>
      <c r="E132" t="s">
        <v>1577</v>
      </c>
      <c r="F132">
        <v>6</v>
      </c>
      <c r="G132" t="s">
        <v>11</v>
      </c>
      <c r="H132">
        <v>13.99</v>
      </c>
      <c r="I132">
        <f>Table1[[#This Row],[Quantité corrigé]]*Table1[[#This Row],[Prix_Unitaire_HT]]</f>
        <v>83.94</v>
      </c>
    </row>
    <row r="133" spans="1:9" x14ac:dyDescent="0.25">
      <c r="A133" t="s">
        <v>216</v>
      </c>
      <c r="B133" t="s">
        <v>215</v>
      </c>
      <c r="C133" s="2" t="str">
        <f t="shared" si="5"/>
        <v>février</v>
      </c>
      <c r="D133" t="s">
        <v>61</v>
      </c>
      <c r="E133" t="s">
        <v>1578</v>
      </c>
      <c r="F133">
        <v>4</v>
      </c>
      <c r="G133" t="s">
        <v>11</v>
      </c>
      <c r="H133">
        <v>13.58</v>
      </c>
      <c r="I133">
        <f>Table1[[#This Row],[Quantité corrigé]]*Table1[[#This Row],[Prix_Unitaire_HT]]</f>
        <v>54.32</v>
      </c>
    </row>
    <row r="134" spans="1:9" x14ac:dyDescent="0.25">
      <c r="A134" t="s">
        <v>217</v>
      </c>
      <c r="B134" t="s">
        <v>215</v>
      </c>
      <c r="C134" s="2" t="str">
        <f t="shared" si="5"/>
        <v>février</v>
      </c>
      <c r="D134" t="s">
        <v>61</v>
      </c>
      <c r="E134" t="s">
        <v>1579</v>
      </c>
      <c r="F134">
        <v>3</v>
      </c>
      <c r="G134" t="s">
        <v>17</v>
      </c>
      <c r="H134">
        <v>1.27</v>
      </c>
      <c r="I134">
        <f>Table1[[#This Row],[Quantité corrigé]]*Table1[[#This Row],[Prix_Unitaire_HT]]</f>
        <v>3.81</v>
      </c>
    </row>
    <row r="135" spans="1:9" x14ac:dyDescent="0.25">
      <c r="A135" t="s">
        <v>218</v>
      </c>
      <c r="B135" t="s">
        <v>219</v>
      </c>
      <c r="C135" s="2" t="str">
        <f t="shared" si="5"/>
        <v>février</v>
      </c>
      <c r="D135" t="s">
        <v>66</v>
      </c>
      <c r="E135" t="s">
        <v>1583</v>
      </c>
      <c r="F135">
        <v>6</v>
      </c>
      <c r="G135" t="s">
        <v>17</v>
      </c>
      <c r="H135">
        <v>9.7799999999999994</v>
      </c>
      <c r="I135">
        <f>Table1[[#This Row],[Quantité corrigé]]*Table1[[#This Row],[Prix_Unitaire_HT]]</f>
        <v>58.679999999999993</v>
      </c>
    </row>
    <row r="136" spans="1:9" x14ac:dyDescent="0.25">
      <c r="A136" t="s">
        <v>220</v>
      </c>
      <c r="B136" t="s">
        <v>219</v>
      </c>
      <c r="C136" s="2" t="str">
        <f t="shared" si="5"/>
        <v>février</v>
      </c>
      <c r="D136" t="s">
        <v>66</v>
      </c>
      <c r="E136" t="s">
        <v>1584</v>
      </c>
      <c r="F136">
        <v>6</v>
      </c>
      <c r="G136" t="s">
        <v>17</v>
      </c>
      <c r="H136">
        <v>7.27</v>
      </c>
      <c r="I136">
        <f>Table1[[#This Row],[Quantité corrigé]]*Table1[[#This Row],[Prix_Unitaire_HT]]</f>
        <v>43.62</v>
      </c>
    </row>
    <row r="137" spans="1:9" x14ac:dyDescent="0.25">
      <c r="A137" t="s">
        <v>221</v>
      </c>
      <c r="B137" t="s">
        <v>219</v>
      </c>
      <c r="C137" s="2" t="str">
        <f t="shared" si="5"/>
        <v>février</v>
      </c>
      <c r="D137" t="s">
        <v>69</v>
      </c>
      <c r="E137" t="s">
        <v>1585</v>
      </c>
      <c r="F137">
        <v>8</v>
      </c>
      <c r="G137" t="s">
        <v>39</v>
      </c>
      <c r="H137">
        <v>5.95</v>
      </c>
      <c r="I137">
        <f>Table1[[#This Row],[Quantité corrigé]]*Table1[[#This Row],[Prix_Unitaire_HT]]</f>
        <v>47.6</v>
      </c>
    </row>
    <row r="138" spans="1:9" x14ac:dyDescent="0.25">
      <c r="A138" t="s">
        <v>222</v>
      </c>
      <c r="B138" t="s">
        <v>219</v>
      </c>
      <c r="C138" s="2" t="str">
        <f t="shared" si="5"/>
        <v>février</v>
      </c>
      <c r="D138" t="s">
        <v>69</v>
      </c>
      <c r="E138" t="s">
        <v>1586</v>
      </c>
      <c r="F138">
        <v>8</v>
      </c>
      <c r="G138" t="s">
        <v>43</v>
      </c>
      <c r="H138">
        <v>4</v>
      </c>
      <c r="I138">
        <f>Table1[[#This Row],[Quantité corrigé]]*Table1[[#This Row],[Prix_Unitaire_HT]]</f>
        <v>32</v>
      </c>
    </row>
    <row r="139" spans="1:9" x14ac:dyDescent="0.25">
      <c r="A139" t="s">
        <v>223</v>
      </c>
      <c r="B139" t="s">
        <v>224</v>
      </c>
      <c r="C139" s="2" t="str">
        <f t="shared" si="5"/>
        <v>février</v>
      </c>
      <c r="D139" t="s">
        <v>195</v>
      </c>
      <c r="E139" t="s">
        <v>1588</v>
      </c>
      <c r="F139">
        <v>8</v>
      </c>
      <c r="G139" t="s">
        <v>17</v>
      </c>
      <c r="H139">
        <v>9.19</v>
      </c>
      <c r="I139">
        <f>Table1[[#This Row],[Quantité corrigé]]*Table1[[#This Row],[Prix_Unitaire_HT]]</f>
        <v>73.52</v>
      </c>
    </row>
    <row r="140" spans="1:9" x14ac:dyDescent="0.25">
      <c r="A140" t="s">
        <v>225</v>
      </c>
      <c r="B140" t="s">
        <v>226</v>
      </c>
      <c r="C140" s="2" t="str">
        <f t="shared" si="5"/>
        <v>février</v>
      </c>
      <c r="D140" t="s">
        <v>61</v>
      </c>
      <c r="E140" t="s">
        <v>1577</v>
      </c>
      <c r="F140">
        <v>6</v>
      </c>
      <c r="G140" t="s">
        <v>11</v>
      </c>
      <c r="H140">
        <v>15.19</v>
      </c>
      <c r="I140">
        <f>Table1[[#This Row],[Quantité corrigé]]*Table1[[#This Row],[Prix_Unitaire_HT]]</f>
        <v>91.14</v>
      </c>
    </row>
    <row r="141" spans="1:9" x14ac:dyDescent="0.25">
      <c r="A141" t="s">
        <v>227</v>
      </c>
      <c r="B141" t="s">
        <v>226</v>
      </c>
      <c r="C141" s="2" t="str">
        <f t="shared" si="5"/>
        <v>février</v>
      </c>
      <c r="D141" t="s">
        <v>61</v>
      </c>
      <c r="E141" t="s">
        <v>1578</v>
      </c>
      <c r="F141">
        <v>4</v>
      </c>
      <c r="G141" t="s">
        <v>11</v>
      </c>
      <c r="H141">
        <v>12.93</v>
      </c>
      <c r="I141">
        <f>Table1[[#This Row],[Quantité corrigé]]*Table1[[#This Row],[Prix_Unitaire_HT]]</f>
        <v>51.72</v>
      </c>
    </row>
    <row r="142" spans="1:9" x14ac:dyDescent="0.25">
      <c r="A142" t="s">
        <v>228</v>
      </c>
      <c r="B142" t="s">
        <v>226</v>
      </c>
      <c r="C142" s="2" t="str">
        <f t="shared" si="5"/>
        <v>février</v>
      </c>
      <c r="D142" t="s">
        <v>61</v>
      </c>
      <c r="E142" t="s">
        <v>1579</v>
      </c>
      <c r="F142">
        <v>3</v>
      </c>
      <c r="G142" t="s">
        <v>17</v>
      </c>
      <c r="H142">
        <v>1.25</v>
      </c>
      <c r="I142">
        <f>Table1[[#This Row],[Quantité corrigé]]*Table1[[#This Row],[Prix_Unitaire_HT]]</f>
        <v>3.75</v>
      </c>
    </row>
    <row r="143" spans="1:9" x14ac:dyDescent="0.25">
      <c r="A143" t="s">
        <v>229</v>
      </c>
      <c r="B143" t="s">
        <v>226</v>
      </c>
      <c r="C143" s="2" t="str">
        <f t="shared" si="5"/>
        <v>février</v>
      </c>
      <c r="D143" t="s">
        <v>19</v>
      </c>
      <c r="E143" t="s">
        <v>1580</v>
      </c>
      <c r="F143">
        <v>10</v>
      </c>
      <c r="G143" t="s">
        <v>21</v>
      </c>
      <c r="H143">
        <v>4.18</v>
      </c>
      <c r="I143">
        <f>Table1[[#This Row],[Quantité corrigé]]*Table1[[#This Row],[Prix_Unitaire_HT]]</f>
        <v>41.8</v>
      </c>
    </row>
    <row r="144" spans="1:9" x14ac:dyDescent="0.25">
      <c r="A144" t="s">
        <v>230</v>
      </c>
      <c r="B144" t="s">
        <v>226</v>
      </c>
      <c r="C144" s="2" t="str">
        <f t="shared" si="5"/>
        <v>février</v>
      </c>
      <c r="D144" t="s">
        <v>19</v>
      </c>
      <c r="E144" t="s">
        <v>1581</v>
      </c>
      <c r="F144">
        <v>6</v>
      </c>
      <c r="G144" t="s">
        <v>25</v>
      </c>
      <c r="H144">
        <v>22.35</v>
      </c>
      <c r="I144">
        <f>Table1[[#This Row],[Quantité corrigé]]*Table1[[#This Row],[Prix_Unitaire_HT]]</f>
        <v>134.10000000000002</v>
      </c>
    </row>
    <row r="145" spans="1:9" x14ac:dyDescent="0.25">
      <c r="A145" t="s">
        <v>231</v>
      </c>
      <c r="B145" t="s">
        <v>226</v>
      </c>
      <c r="C145" s="2" t="str">
        <f t="shared" si="5"/>
        <v>février</v>
      </c>
      <c r="D145" t="s">
        <v>19</v>
      </c>
      <c r="E145" t="s">
        <v>1582</v>
      </c>
      <c r="F145">
        <v>4</v>
      </c>
      <c r="G145" t="s">
        <v>29</v>
      </c>
      <c r="H145">
        <v>10.36</v>
      </c>
      <c r="I145">
        <f>Table1[[#This Row],[Quantité corrigé]]*Table1[[#This Row],[Prix_Unitaire_HT]]</f>
        <v>41.44</v>
      </c>
    </row>
    <row r="146" spans="1:9" x14ac:dyDescent="0.25">
      <c r="A146" t="s">
        <v>232</v>
      </c>
      <c r="B146" t="s">
        <v>233</v>
      </c>
      <c r="C146" s="2" t="str">
        <f t="shared" si="5"/>
        <v>février</v>
      </c>
      <c r="D146" t="s">
        <v>66</v>
      </c>
      <c r="E146" t="s">
        <v>1583</v>
      </c>
      <c r="F146">
        <v>10</v>
      </c>
      <c r="G146" t="s">
        <v>17</v>
      </c>
      <c r="H146">
        <v>9.81</v>
      </c>
      <c r="I146">
        <f>Table1[[#This Row],[Quantité corrigé]]*Table1[[#This Row],[Prix_Unitaire_HT]]</f>
        <v>98.100000000000009</v>
      </c>
    </row>
    <row r="147" spans="1:9" x14ac:dyDescent="0.25">
      <c r="A147" t="s">
        <v>234</v>
      </c>
      <c r="B147" t="s">
        <v>233</v>
      </c>
      <c r="C147" s="2" t="str">
        <f t="shared" si="5"/>
        <v>février</v>
      </c>
      <c r="D147" t="s">
        <v>66</v>
      </c>
      <c r="E147" t="s">
        <v>1584</v>
      </c>
      <c r="F147">
        <v>12</v>
      </c>
      <c r="G147" t="s">
        <v>17</v>
      </c>
      <c r="H147">
        <v>6.83</v>
      </c>
      <c r="I147">
        <f>Table1[[#This Row],[Quantité corrigé]]*Table1[[#This Row],[Prix_Unitaire_HT]]</f>
        <v>81.960000000000008</v>
      </c>
    </row>
    <row r="148" spans="1:9" x14ac:dyDescent="0.25">
      <c r="A148" t="s">
        <v>235</v>
      </c>
      <c r="B148" t="s">
        <v>233</v>
      </c>
      <c r="C148" s="2" t="str">
        <f t="shared" si="5"/>
        <v>février</v>
      </c>
      <c r="D148" t="s">
        <v>69</v>
      </c>
      <c r="E148" t="s">
        <v>1585</v>
      </c>
      <c r="F148">
        <v>12</v>
      </c>
      <c r="G148" t="s">
        <v>39</v>
      </c>
      <c r="H148">
        <v>5.9</v>
      </c>
      <c r="I148">
        <f>Table1[[#This Row],[Quantité corrigé]]*Table1[[#This Row],[Prix_Unitaire_HT]]</f>
        <v>70.800000000000011</v>
      </c>
    </row>
    <row r="149" spans="1:9" x14ac:dyDescent="0.25">
      <c r="A149" t="s">
        <v>236</v>
      </c>
      <c r="B149" t="s">
        <v>233</v>
      </c>
      <c r="C149" s="2" t="str">
        <f t="shared" si="5"/>
        <v>février</v>
      </c>
      <c r="D149" t="s">
        <v>69</v>
      </c>
      <c r="E149" t="s">
        <v>1586</v>
      </c>
      <c r="F149">
        <v>8</v>
      </c>
      <c r="G149" t="s">
        <v>43</v>
      </c>
      <c r="H149">
        <v>3.9</v>
      </c>
      <c r="I149">
        <f>Table1[[#This Row],[Quantité corrigé]]*Table1[[#This Row],[Prix_Unitaire_HT]]</f>
        <v>31.2</v>
      </c>
    </row>
    <row r="150" spans="1:9" x14ac:dyDescent="0.25">
      <c r="A150" t="s">
        <v>237</v>
      </c>
      <c r="B150" t="s">
        <v>238</v>
      </c>
      <c r="C150" s="2" t="str">
        <f t="shared" si="5"/>
        <v>février</v>
      </c>
      <c r="D150" t="s">
        <v>19</v>
      </c>
      <c r="E150" t="s">
        <v>1580</v>
      </c>
      <c r="F150">
        <v>10</v>
      </c>
      <c r="G150" t="s">
        <v>21</v>
      </c>
      <c r="H150">
        <v>4.1399999999999997</v>
      </c>
      <c r="I150">
        <f>Table1[[#This Row],[Quantité corrigé]]*Table1[[#This Row],[Prix_Unitaire_HT]]</f>
        <v>41.4</v>
      </c>
    </row>
    <row r="151" spans="1:9" x14ac:dyDescent="0.25">
      <c r="A151" t="s">
        <v>239</v>
      </c>
      <c r="B151" t="s">
        <v>238</v>
      </c>
      <c r="C151" s="2" t="str">
        <f t="shared" si="5"/>
        <v>février</v>
      </c>
      <c r="D151" t="s">
        <v>19</v>
      </c>
      <c r="E151" t="s">
        <v>1581</v>
      </c>
      <c r="F151">
        <v>10</v>
      </c>
      <c r="G151" t="s">
        <v>25</v>
      </c>
      <c r="H151">
        <v>22.53</v>
      </c>
      <c r="I151">
        <f>Table1[[#This Row],[Quantité corrigé]]*Table1[[#This Row],[Prix_Unitaire_HT]]</f>
        <v>225.3</v>
      </c>
    </row>
    <row r="152" spans="1:9" x14ac:dyDescent="0.25">
      <c r="A152" t="s">
        <v>240</v>
      </c>
      <c r="B152" t="s">
        <v>238</v>
      </c>
      <c r="C152" s="2" t="str">
        <f t="shared" si="5"/>
        <v>février</v>
      </c>
      <c r="D152" t="s">
        <v>19</v>
      </c>
      <c r="E152" t="s">
        <v>1582</v>
      </c>
      <c r="F152">
        <v>6</v>
      </c>
      <c r="G152" t="s">
        <v>29</v>
      </c>
      <c r="H152">
        <v>10.39</v>
      </c>
      <c r="I152">
        <f>Table1[[#This Row],[Quantité corrigé]]*Table1[[#This Row],[Prix_Unitaire_HT]]</f>
        <v>62.34</v>
      </c>
    </row>
    <row r="153" spans="1:9" x14ac:dyDescent="0.25">
      <c r="A153" t="s">
        <v>241</v>
      </c>
      <c r="B153" t="s">
        <v>238</v>
      </c>
      <c r="C153" s="2" t="str">
        <f t="shared" si="5"/>
        <v>février</v>
      </c>
      <c r="D153" t="s">
        <v>50</v>
      </c>
      <c r="E153" t="s">
        <v>1587</v>
      </c>
      <c r="F153">
        <v>3</v>
      </c>
      <c r="G153" t="s">
        <v>52</v>
      </c>
      <c r="H153">
        <v>19.09</v>
      </c>
      <c r="I153">
        <f>Table1[[#This Row],[Quantité corrigé]]*Table1[[#This Row],[Prix_Unitaire_HT]]</f>
        <v>57.269999999999996</v>
      </c>
    </row>
    <row r="154" spans="1:9" x14ac:dyDescent="0.25">
      <c r="A154" t="s">
        <v>243</v>
      </c>
      <c r="B154" t="s">
        <v>238</v>
      </c>
      <c r="C154" s="2" t="str">
        <f t="shared" si="5"/>
        <v>février</v>
      </c>
      <c r="D154" t="s">
        <v>195</v>
      </c>
      <c r="E154" t="s">
        <v>1588</v>
      </c>
      <c r="F154">
        <v>6</v>
      </c>
      <c r="G154" t="s">
        <v>17</v>
      </c>
      <c r="H154">
        <v>9.16</v>
      </c>
      <c r="I154">
        <f>Table1[[#This Row],[Quantité corrigé]]*Table1[[#This Row],[Prix_Unitaire_HT]]</f>
        <v>54.96</v>
      </c>
    </row>
    <row r="155" spans="1:9" x14ac:dyDescent="0.25">
      <c r="A155" t="s">
        <v>244</v>
      </c>
      <c r="B155" t="s">
        <v>245</v>
      </c>
      <c r="C155" s="2" t="str">
        <f t="shared" si="5"/>
        <v>février</v>
      </c>
      <c r="D155" t="s">
        <v>61</v>
      </c>
      <c r="E155" t="s">
        <v>1577</v>
      </c>
      <c r="F155">
        <v>6</v>
      </c>
      <c r="G155" t="s">
        <v>11</v>
      </c>
      <c r="H155">
        <v>14.69</v>
      </c>
      <c r="I155">
        <f>Table1[[#This Row],[Quantité corrigé]]*Table1[[#This Row],[Prix_Unitaire_HT]]</f>
        <v>88.14</v>
      </c>
    </row>
    <row r="156" spans="1:9" x14ac:dyDescent="0.25">
      <c r="A156" t="s">
        <v>246</v>
      </c>
      <c r="B156" t="s">
        <v>245</v>
      </c>
      <c r="C156" s="2" t="str">
        <f t="shared" si="5"/>
        <v>février</v>
      </c>
      <c r="D156" t="s">
        <v>61</v>
      </c>
      <c r="E156" t="s">
        <v>1578</v>
      </c>
      <c r="F156">
        <v>5</v>
      </c>
      <c r="G156" t="s">
        <v>11</v>
      </c>
      <c r="H156">
        <v>13.34</v>
      </c>
      <c r="I156">
        <f>Table1[[#This Row],[Quantité corrigé]]*Table1[[#This Row],[Prix_Unitaire_HT]]</f>
        <v>66.7</v>
      </c>
    </row>
    <row r="157" spans="1:9" x14ac:dyDescent="0.25">
      <c r="A157" t="s">
        <v>247</v>
      </c>
      <c r="B157" t="s">
        <v>245</v>
      </c>
      <c r="C157" s="2" t="str">
        <f t="shared" si="5"/>
        <v>février</v>
      </c>
      <c r="D157" t="s">
        <v>61</v>
      </c>
      <c r="E157" t="s">
        <v>1579</v>
      </c>
      <c r="F157">
        <v>4</v>
      </c>
      <c r="G157" t="s">
        <v>17</v>
      </c>
      <c r="H157">
        <v>1.21</v>
      </c>
      <c r="I157">
        <f>Table1[[#This Row],[Quantité corrigé]]*Table1[[#This Row],[Prix_Unitaire_HT]]</f>
        <v>4.84</v>
      </c>
    </row>
    <row r="158" spans="1:9" x14ac:dyDescent="0.25">
      <c r="A158" t="s">
        <v>248</v>
      </c>
      <c r="B158" t="s">
        <v>249</v>
      </c>
      <c r="C158" s="2" t="str">
        <f t="shared" si="5"/>
        <v>février</v>
      </c>
      <c r="D158" t="s">
        <v>66</v>
      </c>
      <c r="E158" t="s">
        <v>1583</v>
      </c>
      <c r="F158">
        <v>12</v>
      </c>
      <c r="G158" t="s">
        <v>17</v>
      </c>
      <c r="H158">
        <v>9.44</v>
      </c>
      <c r="I158">
        <f>Table1[[#This Row],[Quantité corrigé]]*Table1[[#This Row],[Prix_Unitaire_HT]]</f>
        <v>113.28</v>
      </c>
    </row>
    <row r="159" spans="1:9" x14ac:dyDescent="0.25">
      <c r="A159" t="s">
        <v>250</v>
      </c>
      <c r="B159" t="s">
        <v>249</v>
      </c>
      <c r="C159" s="2" t="str">
        <f t="shared" si="5"/>
        <v>février</v>
      </c>
      <c r="D159" t="s">
        <v>66</v>
      </c>
      <c r="E159" t="s">
        <v>1584</v>
      </c>
      <c r="F159">
        <v>10</v>
      </c>
      <c r="G159" t="s">
        <v>17</v>
      </c>
      <c r="H159">
        <v>7.03</v>
      </c>
      <c r="I159">
        <f>Table1[[#This Row],[Quantité corrigé]]*Table1[[#This Row],[Prix_Unitaire_HT]]</f>
        <v>70.3</v>
      </c>
    </row>
    <row r="160" spans="1:9" x14ac:dyDescent="0.25">
      <c r="A160" t="s">
        <v>251</v>
      </c>
      <c r="B160" t="s">
        <v>249</v>
      </c>
      <c r="C160" s="2" t="str">
        <f t="shared" si="5"/>
        <v>février</v>
      </c>
      <c r="D160" t="s">
        <v>69</v>
      </c>
      <c r="E160" t="s">
        <v>1585</v>
      </c>
      <c r="F160">
        <v>8</v>
      </c>
      <c r="G160" t="s">
        <v>39</v>
      </c>
      <c r="H160">
        <v>5.76</v>
      </c>
      <c r="I160">
        <f>Table1[[#This Row],[Quantité corrigé]]*Table1[[#This Row],[Prix_Unitaire_HT]]</f>
        <v>46.08</v>
      </c>
    </row>
    <row r="161" spans="1:9" x14ac:dyDescent="0.25">
      <c r="A161" t="s">
        <v>252</v>
      </c>
      <c r="B161" t="s">
        <v>249</v>
      </c>
      <c r="C161" s="2" t="str">
        <f t="shared" si="5"/>
        <v>février</v>
      </c>
      <c r="D161" t="s">
        <v>69</v>
      </c>
      <c r="E161" t="s">
        <v>1586</v>
      </c>
      <c r="F161">
        <v>12</v>
      </c>
      <c r="G161" t="s">
        <v>43</v>
      </c>
      <c r="H161">
        <v>3.87</v>
      </c>
      <c r="I161">
        <f>Table1[[#This Row],[Quantité corrigé]]*Table1[[#This Row],[Prix_Unitaire_HT]]</f>
        <v>46.44</v>
      </c>
    </row>
    <row r="162" spans="1:9" x14ac:dyDescent="0.25">
      <c r="A162" t="s">
        <v>253</v>
      </c>
      <c r="B162" t="s">
        <v>254</v>
      </c>
      <c r="C162" s="2" t="str">
        <f t="shared" si="5"/>
        <v>février</v>
      </c>
      <c r="D162" t="s">
        <v>195</v>
      </c>
      <c r="E162" t="s">
        <v>1588</v>
      </c>
      <c r="F162">
        <v>6</v>
      </c>
      <c r="G162" t="s">
        <v>17</v>
      </c>
      <c r="H162">
        <v>9.76</v>
      </c>
      <c r="I162">
        <f>Table1[[#This Row],[Quantité corrigé]]*Table1[[#This Row],[Prix_Unitaire_HT]]</f>
        <v>58.56</v>
      </c>
    </row>
    <row r="163" spans="1:9" x14ac:dyDescent="0.25">
      <c r="A163" t="s">
        <v>255</v>
      </c>
      <c r="B163" t="s">
        <v>256</v>
      </c>
      <c r="C163" s="2" t="str">
        <f t="shared" si="5"/>
        <v>février</v>
      </c>
      <c r="D163" t="s">
        <v>61</v>
      </c>
      <c r="E163" t="s">
        <v>1577</v>
      </c>
      <c r="F163">
        <v>4</v>
      </c>
      <c r="G163" t="s">
        <v>11</v>
      </c>
      <c r="H163">
        <v>14.36</v>
      </c>
      <c r="I163">
        <f>Table1[[#This Row],[Quantité corrigé]]*Table1[[#This Row],[Prix_Unitaire_HT]]</f>
        <v>57.44</v>
      </c>
    </row>
    <row r="164" spans="1:9" x14ac:dyDescent="0.25">
      <c r="A164" t="s">
        <v>257</v>
      </c>
      <c r="B164" t="s">
        <v>256</v>
      </c>
      <c r="C164" s="2" t="str">
        <f t="shared" si="5"/>
        <v>février</v>
      </c>
      <c r="D164" t="s">
        <v>61</v>
      </c>
      <c r="E164" t="s">
        <v>1578</v>
      </c>
      <c r="F164">
        <v>5</v>
      </c>
      <c r="G164" t="s">
        <v>11</v>
      </c>
      <c r="H164">
        <v>12.86</v>
      </c>
      <c r="I164">
        <f>Table1[[#This Row],[Quantité corrigé]]*Table1[[#This Row],[Prix_Unitaire_HT]]</f>
        <v>64.3</v>
      </c>
    </row>
    <row r="165" spans="1:9" x14ac:dyDescent="0.25">
      <c r="A165" t="s">
        <v>258</v>
      </c>
      <c r="B165" t="s">
        <v>256</v>
      </c>
      <c r="C165" s="2" t="str">
        <f t="shared" si="5"/>
        <v>février</v>
      </c>
      <c r="D165" t="s">
        <v>61</v>
      </c>
      <c r="E165" t="s">
        <v>1579</v>
      </c>
      <c r="F165">
        <v>4</v>
      </c>
      <c r="G165" t="s">
        <v>17</v>
      </c>
      <c r="H165">
        <v>1.23</v>
      </c>
      <c r="I165">
        <f>Table1[[#This Row],[Quantité corrigé]]*Table1[[#This Row],[Prix_Unitaire_HT]]</f>
        <v>4.92</v>
      </c>
    </row>
    <row r="166" spans="1:9" x14ac:dyDescent="0.25">
      <c r="A166" t="s">
        <v>259</v>
      </c>
      <c r="B166" t="s">
        <v>256</v>
      </c>
      <c r="C166" s="2" t="str">
        <f t="shared" si="5"/>
        <v>février</v>
      </c>
      <c r="D166" t="s">
        <v>19</v>
      </c>
      <c r="E166" t="s">
        <v>1580</v>
      </c>
      <c r="F166">
        <v>8</v>
      </c>
      <c r="G166" t="s">
        <v>21</v>
      </c>
      <c r="H166">
        <v>4.47</v>
      </c>
      <c r="I166">
        <f>Table1[[#This Row],[Quantité corrigé]]*Table1[[#This Row],[Prix_Unitaire_HT]]</f>
        <v>35.76</v>
      </c>
    </row>
    <row r="167" spans="1:9" x14ac:dyDescent="0.25">
      <c r="A167" t="s">
        <v>260</v>
      </c>
      <c r="B167" t="s">
        <v>256</v>
      </c>
      <c r="C167" s="2" t="str">
        <f t="shared" si="5"/>
        <v>février</v>
      </c>
      <c r="D167" t="s">
        <v>19</v>
      </c>
      <c r="E167" t="s">
        <v>1581</v>
      </c>
      <c r="F167">
        <v>4</v>
      </c>
      <c r="G167" t="s">
        <v>25</v>
      </c>
      <c r="H167">
        <v>21.87</v>
      </c>
      <c r="I167">
        <f>Table1[[#This Row],[Quantité corrigé]]*Table1[[#This Row],[Prix_Unitaire_HT]]</f>
        <v>87.48</v>
      </c>
    </row>
    <row r="168" spans="1:9" x14ac:dyDescent="0.25">
      <c r="A168" t="s">
        <v>261</v>
      </c>
      <c r="B168" t="s">
        <v>256</v>
      </c>
      <c r="C168" s="2" t="str">
        <f t="shared" si="5"/>
        <v>février</v>
      </c>
      <c r="D168" t="s">
        <v>19</v>
      </c>
      <c r="E168" t="s">
        <v>1582</v>
      </c>
      <c r="F168">
        <v>4</v>
      </c>
      <c r="G168" t="s">
        <v>29</v>
      </c>
      <c r="H168">
        <v>9.4600000000000009</v>
      </c>
      <c r="I168">
        <f>Table1[[#This Row],[Quantité corrigé]]*Table1[[#This Row],[Prix_Unitaire_HT]]</f>
        <v>37.840000000000003</v>
      </c>
    </row>
    <row r="169" spans="1:9" x14ac:dyDescent="0.25">
      <c r="A169" t="s">
        <v>262</v>
      </c>
      <c r="B169" t="s">
        <v>263</v>
      </c>
      <c r="C169" s="2" t="str">
        <f t="shared" si="5"/>
        <v>février</v>
      </c>
      <c r="D169" t="s">
        <v>66</v>
      </c>
      <c r="E169" t="s">
        <v>1583</v>
      </c>
      <c r="F169">
        <v>5</v>
      </c>
      <c r="G169" t="s">
        <v>17</v>
      </c>
      <c r="H169">
        <v>9.68</v>
      </c>
      <c r="I169">
        <f>Table1[[#This Row],[Quantité corrigé]]*Table1[[#This Row],[Prix_Unitaire_HT]]</f>
        <v>48.4</v>
      </c>
    </row>
    <row r="170" spans="1:9" x14ac:dyDescent="0.25">
      <c r="A170" t="s">
        <v>264</v>
      </c>
      <c r="B170" t="s">
        <v>263</v>
      </c>
      <c r="C170" s="2" t="str">
        <f t="shared" si="5"/>
        <v>février</v>
      </c>
      <c r="D170" t="s">
        <v>66</v>
      </c>
      <c r="E170" t="s">
        <v>1584</v>
      </c>
      <c r="F170">
        <v>6</v>
      </c>
      <c r="G170" t="s">
        <v>17</v>
      </c>
      <c r="H170">
        <v>6.72</v>
      </c>
      <c r="I170">
        <f>Table1[[#This Row],[Quantité corrigé]]*Table1[[#This Row],[Prix_Unitaire_HT]]</f>
        <v>40.32</v>
      </c>
    </row>
    <row r="171" spans="1:9" x14ac:dyDescent="0.25">
      <c r="A171" t="s">
        <v>265</v>
      </c>
      <c r="B171" t="s">
        <v>263</v>
      </c>
      <c r="C171" s="2" t="str">
        <f t="shared" si="5"/>
        <v>février</v>
      </c>
      <c r="D171" t="s">
        <v>69</v>
      </c>
      <c r="E171" t="s">
        <v>1585</v>
      </c>
      <c r="F171">
        <v>8</v>
      </c>
      <c r="G171" t="s">
        <v>39</v>
      </c>
      <c r="H171">
        <v>5.89</v>
      </c>
      <c r="I171">
        <f>Table1[[#This Row],[Quantité corrigé]]*Table1[[#This Row],[Prix_Unitaire_HT]]</f>
        <v>47.12</v>
      </c>
    </row>
    <row r="172" spans="1:9" x14ac:dyDescent="0.25">
      <c r="A172" t="s">
        <v>266</v>
      </c>
      <c r="B172" t="s">
        <v>263</v>
      </c>
      <c r="C172" s="2" t="str">
        <f t="shared" si="5"/>
        <v>février</v>
      </c>
      <c r="D172" t="s">
        <v>69</v>
      </c>
      <c r="E172" t="s">
        <v>1586</v>
      </c>
      <c r="F172">
        <v>12</v>
      </c>
      <c r="G172" t="s">
        <v>43</v>
      </c>
      <c r="H172">
        <v>3.93</v>
      </c>
      <c r="I172">
        <f>Table1[[#This Row],[Quantité corrigé]]*Table1[[#This Row],[Prix_Unitaire_HT]]</f>
        <v>47.160000000000004</v>
      </c>
    </row>
    <row r="173" spans="1:9" x14ac:dyDescent="0.25">
      <c r="A173" t="s">
        <v>267</v>
      </c>
      <c r="B173" t="s">
        <v>268</v>
      </c>
      <c r="C173" s="2" t="str">
        <f t="shared" si="5"/>
        <v>février</v>
      </c>
      <c r="D173" t="s">
        <v>19</v>
      </c>
      <c r="E173" t="s">
        <v>1580</v>
      </c>
      <c r="F173">
        <v>4</v>
      </c>
      <c r="G173" t="s">
        <v>21</v>
      </c>
      <c r="H173">
        <v>4.16</v>
      </c>
      <c r="I173">
        <f>Table1[[#This Row],[Quantité corrigé]]*Table1[[#This Row],[Prix_Unitaire_HT]]</f>
        <v>16.64</v>
      </c>
    </row>
    <row r="174" spans="1:9" x14ac:dyDescent="0.25">
      <c r="A174" t="s">
        <v>269</v>
      </c>
      <c r="B174" t="s">
        <v>268</v>
      </c>
      <c r="C174" s="2" t="str">
        <f t="shared" si="5"/>
        <v>février</v>
      </c>
      <c r="D174" t="s">
        <v>19</v>
      </c>
      <c r="E174" t="s">
        <v>1581</v>
      </c>
      <c r="F174">
        <v>6</v>
      </c>
      <c r="G174" t="s">
        <v>25</v>
      </c>
      <c r="H174">
        <v>23.61</v>
      </c>
      <c r="I174">
        <f>Table1[[#This Row],[Quantité corrigé]]*Table1[[#This Row],[Prix_Unitaire_HT]]</f>
        <v>141.66</v>
      </c>
    </row>
    <row r="175" spans="1:9" x14ac:dyDescent="0.25">
      <c r="A175" t="s">
        <v>270</v>
      </c>
      <c r="B175" t="s">
        <v>268</v>
      </c>
      <c r="C175" s="2" t="str">
        <f t="shared" si="5"/>
        <v>février</v>
      </c>
      <c r="D175" t="s">
        <v>19</v>
      </c>
      <c r="E175" t="s">
        <v>1582</v>
      </c>
      <c r="F175">
        <v>6</v>
      </c>
      <c r="G175" t="s">
        <v>29</v>
      </c>
      <c r="H175">
        <v>10.15</v>
      </c>
      <c r="I175">
        <f>Table1[[#This Row],[Quantité corrigé]]*Table1[[#This Row],[Prix_Unitaire_HT]]</f>
        <v>60.900000000000006</v>
      </c>
    </row>
    <row r="176" spans="1:9" x14ac:dyDescent="0.25">
      <c r="A176" t="s">
        <v>271</v>
      </c>
      <c r="B176" t="s">
        <v>268</v>
      </c>
      <c r="C176" s="2" t="str">
        <f t="shared" si="5"/>
        <v>février</v>
      </c>
      <c r="D176" t="s">
        <v>50</v>
      </c>
      <c r="E176" t="s">
        <v>1587</v>
      </c>
      <c r="F176">
        <v>3</v>
      </c>
      <c r="G176" t="s">
        <v>52</v>
      </c>
      <c r="H176">
        <v>18.02</v>
      </c>
      <c r="I176">
        <f>Table1[[#This Row],[Quantité corrigé]]*Table1[[#This Row],[Prix_Unitaire_HT]]</f>
        <v>54.06</v>
      </c>
    </row>
    <row r="177" spans="1:9" x14ac:dyDescent="0.25">
      <c r="A177" t="s">
        <v>272</v>
      </c>
      <c r="B177" t="s">
        <v>268</v>
      </c>
      <c r="C177" s="2" t="str">
        <f t="shared" si="5"/>
        <v>février</v>
      </c>
      <c r="D177" t="s">
        <v>195</v>
      </c>
      <c r="E177" t="s">
        <v>1588</v>
      </c>
      <c r="F177">
        <v>6</v>
      </c>
      <c r="G177" t="s">
        <v>17</v>
      </c>
      <c r="H177">
        <v>8.7799999999999994</v>
      </c>
      <c r="I177">
        <f>Table1[[#This Row],[Quantité corrigé]]*Table1[[#This Row],[Prix_Unitaire_HT]]</f>
        <v>52.679999999999993</v>
      </c>
    </row>
    <row r="178" spans="1:9" x14ac:dyDescent="0.25">
      <c r="A178" t="s">
        <v>273</v>
      </c>
      <c r="B178" t="s">
        <v>274</v>
      </c>
      <c r="C178" s="2" t="str">
        <f t="shared" si="5"/>
        <v>février</v>
      </c>
      <c r="D178" t="s">
        <v>61</v>
      </c>
      <c r="E178" t="s">
        <v>1577</v>
      </c>
      <c r="F178">
        <v>6</v>
      </c>
      <c r="G178" t="s">
        <v>11</v>
      </c>
      <c r="H178">
        <v>14.06</v>
      </c>
      <c r="I178">
        <f>Table1[[#This Row],[Quantité corrigé]]*Table1[[#This Row],[Prix_Unitaire_HT]]</f>
        <v>84.36</v>
      </c>
    </row>
    <row r="179" spans="1:9" x14ac:dyDescent="0.25">
      <c r="A179" t="s">
        <v>275</v>
      </c>
      <c r="B179" t="s">
        <v>274</v>
      </c>
      <c r="C179" s="2" t="str">
        <f t="shared" si="5"/>
        <v>février</v>
      </c>
      <c r="D179" t="s">
        <v>61</v>
      </c>
      <c r="E179" t="s">
        <v>1578</v>
      </c>
      <c r="F179">
        <v>4</v>
      </c>
      <c r="G179" t="s">
        <v>11</v>
      </c>
      <c r="H179">
        <v>13.31</v>
      </c>
      <c r="I179">
        <f>Table1[[#This Row],[Quantité corrigé]]*Table1[[#This Row],[Prix_Unitaire_HT]]</f>
        <v>53.24</v>
      </c>
    </row>
    <row r="180" spans="1:9" x14ac:dyDescent="0.25">
      <c r="A180" t="s">
        <v>276</v>
      </c>
      <c r="B180" t="s">
        <v>274</v>
      </c>
      <c r="C180" s="2" t="str">
        <f t="shared" si="5"/>
        <v>février</v>
      </c>
      <c r="D180" t="s">
        <v>61</v>
      </c>
      <c r="E180" t="s">
        <v>1579</v>
      </c>
      <c r="F180">
        <v>5</v>
      </c>
      <c r="G180" t="s">
        <v>17</v>
      </c>
      <c r="H180">
        <v>1.25</v>
      </c>
      <c r="I180">
        <f>Table1[[#This Row],[Quantité corrigé]]*Table1[[#This Row],[Prix_Unitaire_HT]]</f>
        <v>6.25</v>
      </c>
    </row>
    <row r="181" spans="1:9" x14ac:dyDescent="0.25">
      <c r="A181" t="s">
        <v>277</v>
      </c>
      <c r="B181" t="s">
        <v>278</v>
      </c>
      <c r="C181" s="2" t="str">
        <f t="shared" si="5"/>
        <v>février</v>
      </c>
      <c r="D181" t="s">
        <v>66</v>
      </c>
      <c r="E181" t="s">
        <v>1583</v>
      </c>
      <c r="F181">
        <v>12</v>
      </c>
      <c r="G181" t="s">
        <v>17</v>
      </c>
      <c r="H181">
        <v>10.17</v>
      </c>
      <c r="I181">
        <f>Table1[[#This Row],[Quantité corrigé]]*Table1[[#This Row],[Prix_Unitaire_HT]]</f>
        <v>122.03999999999999</v>
      </c>
    </row>
    <row r="182" spans="1:9" x14ac:dyDescent="0.25">
      <c r="A182" t="s">
        <v>279</v>
      </c>
      <c r="B182" t="s">
        <v>278</v>
      </c>
      <c r="C182" s="2" t="str">
        <f t="shared" si="5"/>
        <v>février</v>
      </c>
      <c r="D182" t="s">
        <v>66</v>
      </c>
      <c r="E182" t="s">
        <v>1584</v>
      </c>
      <c r="F182">
        <v>10</v>
      </c>
      <c r="G182" t="s">
        <v>17</v>
      </c>
      <c r="H182">
        <v>7.13</v>
      </c>
      <c r="I182">
        <f>Table1[[#This Row],[Quantité corrigé]]*Table1[[#This Row],[Prix_Unitaire_HT]]</f>
        <v>71.3</v>
      </c>
    </row>
    <row r="183" spans="1:9" x14ac:dyDescent="0.25">
      <c r="A183" t="s">
        <v>280</v>
      </c>
      <c r="B183" t="s">
        <v>278</v>
      </c>
      <c r="C183" s="2" t="str">
        <f t="shared" si="5"/>
        <v>février</v>
      </c>
      <c r="D183" t="s">
        <v>69</v>
      </c>
      <c r="E183" t="s">
        <v>1585</v>
      </c>
      <c r="F183">
        <v>12</v>
      </c>
      <c r="G183" t="s">
        <v>39</v>
      </c>
      <c r="H183">
        <v>6.01</v>
      </c>
      <c r="I183">
        <f>Table1[[#This Row],[Quantité corrigé]]*Table1[[#This Row],[Prix_Unitaire_HT]]</f>
        <v>72.12</v>
      </c>
    </row>
    <row r="184" spans="1:9" x14ac:dyDescent="0.25">
      <c r="A184" t="s">
        <v>281</v>
      </c>
      <c r="B184" t="s">
        <v>278</v>
      </c>
      <c r="C184" s="2" t="str">
        <f t="shared" si="5"/>
        <v>février</v>
      </c>
      <c r="D184" t="s">
        <v>69</v>
      </c>
      <c r="E184" t="s">
        <v>1586</v>
      </c>
      <c r="F184">
        <v>10</v>
      </c>
      <c r="G184" t="s">
        <v>43</v>
      </c>
      <c r="H184">
        <v>4.03</v>
      </c>
      <c r="I184">
        <f>Table1[[#This Row],[Quantité corrigé]]*Table1[[#This Row],[Prix_Unitaire_HT]]</f>
        <v>40.300000000000004</v>
      </c>
    </row>
    <row r="185" spans="1:9" x14ac:dyDescent="0.25">
      <c r="A185" t="s">
        <v>282</v>
      </c>
      <c r="B185" t="s">
        <v>283</v>
      </c>
      <c r="C185" s="2" t="str">
        <f t="shared" si="5"/>
        <v>février</v>
      </c>
      <c r="D185" t="s">
        <v>195</v>
      </c>
      <c r="E185" t="s">
        <v>1588</v>
      </c>
      <c r="F185">
        <v>4</v>
      </c>
      <c r="G185" t="s">
        <v>17</v>
      </c>
      <c r="H185">
        <v>8.5</v>
      </c>
      <c r="I185">
        <f>Table1[[#This Row],[Quantité corrigé]]*Table1[[#This Row],[Prix_Unitaire_HT]]</f>
        <v>34</v>
      </c>
    </row>
    <row r="186" spans="1:9" x14ac:dyDescent="0.25">
      <c r="A186" t="s">
        <v>284</v>
      </c>
      <c r="B186" t="s">
        <v>285</v>
      </c>
      <c r="C186" s="2" t="str">
        <f t="shared" si="5"/>
        <v>février</v>
      </c>
      <c r="D186" t="s">
        <v>61</v>
      </c>
      <c r="E186" t="s">
        <v>1577</v>
      </c>
      <c r="F186">
        <v>3</v>
      </c>
      <c r="G186" t="s">
        <v>11</v>
      </c>
      <c r="H186">
        <v>14.96</v>
      </c>
      <c r="I186">
        <f>Table1[[#This Row],[Quantité corrigé]]*Table1[[#This Row],[Prix_Unitaire_HT]]</f>
        <v>44.88</v>
      </c>
    </row>
    <row r="187" spans="1:9" x14ac:dyDescent="0.25">
      <c r="A187" t="s">
        <v>286</v>
      </c>
      <c r="B187" t="s">
        <v>285</v>
      </c>
      <c r="C187" s="2" t="str">
        <f t="shared" si="5"/>
        <v>février</v>
      </c>
      <c r="D187" t="s">
        <v>61</v>
      </c>
      <c r="E187" t="s">
        <v>1578</v>
      </c>
      <c r="F187">
        <v>6</v>
      </c>
      <c r="G187" t="s">
        <v>11</v>
      </c>
      <c r="H187">
        <v>13.89</v>
      </c>
      <c r="I187">
        <f>Table1[[#This Row],[Quantité corrigé]]*Table1[[#This Row],[Prix_Unitaire_HT]]</f>
        <v>83.34</v>
      </c>
    </row>
    <row r="188" spans="1:9" x14ac:dyDescent="0.25">
      <c r="A188" t="s">
        <v>287</v>
      </c>
      <c r="B188" t="s">
        <v>285</v>
      </c>
      <c r="C188" s="2" t="str">
        <f t="shared" si="5"/>
        <v>février</v>
      </c>
      <c r="D188" t="s">
        <v>61</v>
      </c>
      <c r="E188" t="s">
        <v>1579</v>
      </c>
      <c r="F188">
        <v>6</v>
      </c>
      <c r="G188" t="s">
        <v>17</v>
      </c>
      <c r="H188">
        <v>1.23</v>
      </c>
      <c r="I188">
        <f>Table1[[#This Row],[Quantité corrigé]]*Table1[[#This Row],[Prix_Unitaire_HT]]</f>
        <v>7.38</v>
      </c>
    </row>
    <row r="189" spans="1:9" x14ac:dyDescent="0.25">
      <c r="A189" t="s">
        <v>288</v>
      </c>
      <c r="B189" t="s">
        <v>285</v>
      </c>
      <c r="C189" s="2" t="str">
        <f t="shared" si="5"/>
        <v>février</v>
      </c>
      <c r="D189" t="s">
        <v>19</v>
      </c>
      <c r="E189" t="s">
        <v>1580</v>
      </c>
      <c r="F189">
        <v>10</v>
      </c>
      <c r="G189" t="s">
        <v>21</v>
      </c>
      <c r="H189">
        <v>4.25</v>
      </c>
      <c r="I189">
        <f>Table1[[#This Row],[Quantité corrigé]]*Table1[[#This Row],[Prix_Unitaire_HT]]</f>
        <v>42.5</v>
      </c>
    </row>
    <row r="190" spans="1:9" x14ac:dyDescent="0.25">
      <c r="A190" t="s">
        <v>289</v>
      </c>
      <c r="B190" t="s">
        <v>285</v>
      </c>
      <c r="C190" s="2" t="str">
        <f t="shared" si="5"/>
        <v>février</v>
      </c>
      <c r="D190" t="s">
        <v>19</v>
      </c>
      <c r="E190" t="s">
        <v>1581</v>
      </c>
      <c r="F190">
        <v>8</v>
      </c>
      <c r="G190" t="s">
        <v>25</v>
      </c>
      <c r="H190">
        <v>23.35</v>
      </c>
      <c r="I190">
        <f>Table1[[#This Row],[Quantité corrigé]]*Table1[[#This Row],[Prix_Unitaire_HT]]</f>
        <v>186.8</v>
      </c>
    </row>
    <row r="191" spans="1:9" x14ac:dyDescent="0.25">
      <c r="A191" t="s">
        <v>290</v>
      </c>
      <c r="B191" t="s">
        <v>285</v>
      </c>
      <c r="C191" s="2" t="str">
        <f t="shared" si="5"/>
        <v>février</v>
      </c>
      <c r="D191" t="s">
        <v>19</v>
      </c>
      <c r="E191" t="s">
        <v>1582</v>
      </c>
      <c r="F191">
        <v>10</v>
      </c>
      <c r="G191" t="s">
        <v>29</v>
      </c>
      <c r="H191">
        <v>9.68</v>
      </c>
      <c r="I191">
        <f>Table1[[#This Row],[Quantité corrigé]]*Table1[[#This Row],[Prix_Unitaire_HT]]</f>
        <v>96.8</v>
      </c>
    </row>
    <row r="192" spans="1:9" x14ac:dyDescent="0.25">
      <c r="A192" t="s">
        <v>291</v>
      </c>
      <c r="B192" t="s">
        <v>292</v>
      </c>
      <c r="C192" s="2" t="str">
        <f t="shared" si="5"/>
        <v>février</v>
      </c>
      <c r="D192" t="s">
        <v>66</v>
      </c>
      <c r="E192" t="s">
        <v>1583</v>
      </c>
      <c r="F192">
        <v>8</v>
      </c>
      <c r="G192" t="s">
        <v>17</v>
      </c>
      <c r="H192">
        <v>9.4</v>
      </c>
      <c r="I192">
        <f>Table1[[#This Row],[Quantité corrigé]]*Table1[[#This Row],[Prix_Unitaire_HT]]</f>
        <v>75.2</v>
      </c>
    </row>
    <row r="193" spans="1:9" x14ac:dyDescent="0.25">
      <c r="A193" t="s">
        <v>293</v>
      </c>
      <c r="B193" t="s">
        <v>292</v>
      </c>
      <c r="C193" s="2" t="str">
        <f t="shared" si="5"/>
        <v>février</v>
      </c>
      <c r="D193" t="s">
        <v>66</v>
      </c>
      <c r="E193" t="s">
        <v>1584</v>
      </c>
      <c r="F193">
        <v>10</v>
      </c>
      <c r="G193" t="s">
        <v>17</v>
      </c>
      <c r="H193">
        <v>7.74</v>
      </c>
      <c r="I193">
        <f>Table1[[#This Row],[Quantité corrigé]]*Table1[[#This Row],[Prix_Unitaire_HT]]</f>
        <v>77.400000000000006</v>
      </c>
    </row>
    <row r="194" spans="1:9" x14ac:dyDescent="0.25">
      <c r="A194" t="s">
        <v>294</v>
      </c>
      <c r="B194" t="s">
        <v>292</v>
      </c>
      <c r="C194" s="2" t="str">
        <f t="shared" ref="C194:C257" si="6">TEXT(DATE(2024,MID(B194,4,2),_xlfn.TEXTBEFORE(B194,"/",1)),"mmmm")</f>
        <v>février</v>
      </c>
      <c r="D194" t="s">
        <v>69</v>
      </c>
      <c r="E194" t="s">
        <v>1585</v>
      </c>
      <c r="F194">
        <v>12</v>
      </c>
      <c r="G194" t="s">
        <v>39</v>
      </c>
      <c r="H194">
        <v>5.91</v>
      </c>
      <c r="I194">
        <f>Table1[[#This Row],[Quantité corrigé]]*Table1[[#This Row],[Prix_Unitaire_HT]]</f>
        <v>70.92</v>
      </c>
    </row>
    <row r="195" spans="1:9" x14ac:dyDescent="0.25">
      <c r="A195" t="s">
        <v>295</v>
      </c>
      <c r="B195" t="s">
        <v>292</v>
      </c>
      <c r="C195" s="2" t="str">
        <f t="shared" si="6"/>
        <v>février</v>
      </c>
      <c r="D195" t="s">
        <v>69</v>
      </c>
      <c r="E195" t="s">
        <v>1586</v>
      </c>
      <c r="F195">
        <v>12</v>
      </c>
      <c r="G195" t="s">
        <v>43</v>
      </c>
      <c r="H195">
        <v>3.94</v>
      </c>
      <c r="I195">
        <f>Table1[[#This Row],[Quantité corrigé]]*Table1[[#This Row],[Prix_Unitaire_HT]]</f>
        <v>47.28</v>
      </c>
    </row>
    <row r="196" spans="1:9" x14ac:dyDescent="0.25">
      <c r="A196" t="s">
        <v>296</v>
      </c>
      <c r="B196" t="s">
        <v>297</v>
      </c>
      <c r="C196" s="2" t="str">
        <f t="shared" si="6"/>
        <v>février</v>
      </c>
      <c r="D196" t="s">
        <v>19</v>
      </c>
      <c r="E196" t="s">
        <v>1580</v>
      </c>
      <c r="F196">
        <v>6</v>
      </c>
      <c r="G196" t="s">
        <v>21</v>
      </c>
      <c r="H196">
        <v>4.0999999999999996</v>
      </c>
      <c r="I196">
        <f>Table1[[#This Row],[Quantité corrigé]]*Table1[[#This Row],[Prix_Unitaire_HT]]</f>
        <v>24.599999999999998</v>
      </c>
    </row>
    <row r="197" spans="1:9" x14ac:dyDescent="0.25">
      <c r="A197" t="s">
        <v>298</v>
      </c>
      <c r="B197" t="s">
        <v>297</v>
      </c>
      <c r="C197" s="2" t="str">
        <f t="shared" si="6"/>
        <v>février</v>
      </c>
      <c r="D197" t="s">
        <v>19</v>
      </c>
      <c r="E197" t="s">
        <v>1581</v>
      </c>
      <c r="F197">
        <v>10</v>
      </c>
      <c r="G197" t="s">
        <v>25</v>
      </c>
      <c r="H197">
        <v>23.42</v>
      </c>
      <c r="I197">
        <f>Table1[[#This Row],[Quantité corrigé]]*Table1[[#This Row],[Prix_Unitaire_HT]]</f>
        <v>234.20000000000002</v>
      </c>
    </row>
    <row r="198" spans="1:9" x14ac:dyDescent="0.25">
      <c r="A198" t="s">
        <v>299</v>
      </c>
      <c r="B198" t="s">
        <v>297</v>
      </c>
      <c r="C198" s="2" t="str">
        <f t="shared" si="6"/>
        <v>février</v>
      </c>
      <c r="D198" t="s">
        <v>19</v>
      </c>
      <c r="E198" t="s">
        <v>1582</v>
      </c>
      <c r="F198">
        <v>8</v>
      </c>
      <c r="G198" t="s">
        <v>29</v>
      </c>
      <c r="H198">
        <v>10.210000000000001</v>
      </c>
      <c r="I198">
        <f>Table1[[#This Row],[Quantité corrigé]]*Table1[[#This Row],[Prix_Unitaire_HT]]</f>
        <v>81.680000000000007</v>
      </c>
    </row>
    <row r="199" spans="1:9" x14ac:dyDescent="0.25">
      <c r="A199" t="s">
        <v>300</v>
      </c>
      <c r="B199" t="s">
        <v>297</v>
      </c>
      <c r="C199" s="2" t="str">
        <f t="shared" si="6"/>
        <v>février</v>
      </c>
      <c r="D199" t="s">
        <v>50</v>
      </c>
      <c r="E199" t="s">
        <v>1587</v>
      </c>
      <c r="F199">
        <v>2</v>
      </c>
      <c r="G199" t="s">
        <v>52</v>
      </c>
      <c r="H199">
        <v>17.920000000000002</v>
      </c>
      <c r="I199">
        <f>Table1[[#This Row],[Quantité corrigé]]*Table1[[#This Row],[Prix_Unitaire_HT]]</f>
        <v>35.840000000000003</v>
      </c>
    </row>
    <row r="200" spans="1:9" x14ac:dyDescent="0.25">
      <c r="A200" t="s">
        <v>301</v>
      </c>
      <c r="B200" t="s">
        <v>297</v>
      </c>
      <c r="C200" s="2" t="str">
        <f t="shared" si="6"/>
        <v>février</v>
      </c>
      <c r="D200" t="s">
        <v>195</v>
      </c>
      <c r="E200" t="s">
        <v>1588</v>
      </c>
      <c r="F200">
        <v>6</v>
      </c>
      <c r="G200" t="s">
        <v>17</v>
      </c>
      <c r="H200">
        <v>9.2899999999999991</v>
      </c>
      <c r="I200">
        <f>Table1[[#This Row],[Quantité corrigé]]*Table1[[#This Row],[Prix_Unitaire_HT]]</f>
        <v>55.739999999999995</v>
      </c>
    </row>
    <row r="201" spans="1:9" x14ac:dyDescent="0.25">
      <c r="A201" t="s">
        <v>302</v>
      </c>
      <c r="B201" t="s">
        <v>303</v>
      </c>
      <c r="C201" s="2" t="str">
        <f t="shared" si="6"/>
        <v>février</v>
      </c>
      <c r="D201" t="s">
        <v>61</v>
      </c>
      <c r="E201" t="s">
        <v>1577</v>
      </c>
      <c r="F201">
        <v>5</v>
      </c>
      <c r="G201" t="s">
        <v>11</v>
      </c>
      <c r="H201">
        <v>14.51</v>
      </c>
      <c r="I201">
        <f>Table1[[#This Row],[Quantité corrigé]]*Table1[[#This Row],[Prix_Unitaire_HT]]</f>
        <v>72.55</v>
      </c>
    </row>
    <row r="202" spans="1:9" x14ac:dyDescent="0.25">
      <c r="A202" t="s">
        <v>304</v>
      </c>
      <c r="B202" t="s">
        <v>303</v>
      </c>
      <c r="C202" s="2" t="str">
        <f t="shared" si="6"/>
        <v>février</v>
      </c>
      <c r="D202" t="s">
        <v>61</v>
      </c>
      <c r="E202" t="s">
        <v>1578</v>
      </c>
      <c r="F202">
        <v>4</v>
      </c>
      <c r="G202" t="s">
        <v>11</v>
      </c>
      <c r="H202">
        <v>13.35</v>
      </c>
      <c r="I202">
        <f>Table1[[#This Row],[Quantité corrigé]]*Table1[[#This Row],[Prix_Unitaire_HT]]</f>
        <v>53.4</v>
      </c>
    </row>
    <row r="203" spans="1:9" x14ac:dyDescent="0.25">
      <c r="A203" t="s">
        <v>305</v>
      </c>
      <c r="B203" t="s">
        <v>303</v>
      </c>
      <c r="C203" s="2" t="str">
        <f t="shared" si="6"/>
        <v>février</v>
      </c>
      <c r="D203" t="s">
        <v>61</v>
      </c>
      <c r="E203" t="s">
        <v>1579</v>
      </c>
      <c r="F203">
        <v>4</v>
      </c>
      <c r="G203" t="s">
        <v>17</v>
      </c>
      <c r="H203">
        <v>1.26</v>
      </c>
      <c r="I203">
        <f>Table1[[#This Row],[Quantité corrigé]]*Table1[[#This Row],[Prix_Unitaire_HT]]</f>
        <v>5.04</v>
      </c>
    </row>
    <row r="204" spans="1:9" x14ac:dyDescent="0.25">
      <c r="A204" t="s">
        <v>306</v>
      </c>
      <c r="B204" t="s">
        <v>307</v>
      </c>
      <c r="C204" s="2" t="str">
        <f t="shared" si="6"/>
        <v>mars</v>
      </c>
      <c r="D204" t="s">
        <v>66</v>
      </c>
      <c r="E204" t="s">
        <v>1583</v>
      </c>
      <c r="F204">
        <v>12</v>
      </c>
      <c r="G204" t="s">
        <v>17</v>
      </c>
      <c r="H204">
        <v>9.1300000000000008</v>
      </c>
      <c r="I204">
        <f>Table1[[#This Row],[Quantité corrigé]]*Table1[[#This Row],[Prix_Unitaire_HT]]</f>
        <v>109.56</v>
      </c>
    </row>
    <row r="205" spans="1:9" x14ac:dyDescent="0.25">
      <c r="A205" t="s">
        <v>308</v>
      </c>
      <c r="B205" t="s">
        <v>307</v>
      </c>
      <c r="C205" s="2" t="str">
        <f t="shared" si="6"/>
        <v>mars</v>
      </c>
      <c r="D205" t="s">
        <v>66</v>
      </c>
      <c r="E205" t="s">
        <v>1584</v>
      </c>
      <c r="F205">
        <v>8</v>
      </c>
      <c r="G205" t="s">
        <v>17</v>
      </c>
      <c r="H205">
        <v>6.95</v>
      </c>
      <c r="I205">
        <f>Table1[[#This Row],[Quantité corrigé]]*Table1[[#This Row],[Prix_Unitaire_HT]]</f>
        <v>55.6</v>
      </c>
    </row>
    <row r="206" spans="1:9" x14ac:dyDescent="0.25">
      <c r="A206" t="s">
        <v>309</v>
      </c>
      <c r="B206" t="s">
        <v>307</v>
      </c>
      <c r="C206" s="2" t="str">
        <f t="shared" si="6"/>
        <v>mars</v>
      </c>
      <c r="D206" t="s">
        <v>69</v>
      </c>
      <c r="E206" t="s">
        <v>1585</v>
      </c>
      <c r="F206">
        <v>12</v>
      </c>
      <c r="G206" t="s">
        <v>39</v>
      </c>
      <c r="H206">
        <v>5.99</v>
      </c>
      <c r="I206">
        <f>Table1[[#This Row],[Quantité corrigé]]*Table1[[#This Row],[Prix_Unitaire_HT]]</f>
        <v>71.88</v>
      </c>
    </row>
    <row r="207" spans="1:9" x14ac:dyDescent="0.25">
      <c r="A207" t="s">
        <v>310</v>
      </c>
      <c r="B207" t="s">
        <v>307</v>
      </c>
      <c r="C207" s="2" t="str">
        <f t="shared" si="6"/>
        <v>mars</v>
      </c>
      <c r="D207" t="s">
        <v>69</v>
      </c>
      <c r="E207" t="s">
        <v>1586</v>
      </c>
      <c r="F207">
        <v>12</v>
      </c>
      <c r="G207" t="s">
        <v>43</v>
      </c>
      <c r="H207">
        <v>3.9</v>
      </c>
      <c r="I207">
        <f>Table1[[#This Row],[Quantité corrigé]]*Table1[[#This Row],[Prix_Unitaire_HT]]</f>
        <v>46.8</v>
      </c>
    </row>
    <row r="208" spans="1:9" x14ac:dyDescent="0.25">
      <c r="A208" t="s">
        <v>311</v>
      </c>
      <c r="B208" t="s">
        <v>312</v>
      </c>
      <c r="C208" s="2" t="str">
        <f t="shared" si="6"/>
        <v>mars</v>
      </c>
      <c r="D208" t="s">
        <v>195</v>
      </c>
      <c r="E208" t="s">
        <v>1588</v>
      </c>
      <c r="F208">
        <v>6</v>
      </c>
      <c r="G208" t="s">
        <v>17</v>
      </c>
      <c r="H208">
        <v>9.6</v>
      </c>
      <c r="I208">
        <f>Table1[[#This Row],[Quantité corrigé]]*Table1[[#This Row],[Prix_Unitaire_HT]]</f>
        <v>57.599999999999994</v>
      </c>
    </row>
    <row r="209" spans="1:9" x14ac:dyDescent="0.25">
      <c r="A209" t="s">
        <v>313</v>
      </c>
      <c r="B209" t="s">
        <v>314</v>
      </c>
      <c r="C209" s="2" t="str">
        <f t="shared" si="6"/>
        <v>mars</v>
      </c>
      <c r="D209" t="s">
        <v>61</v>
      </c>
      <c r="E209" t="s">
        <v>1577</v>
      </c>
      <c r="F209">
        <v>6</v>
      </c>
      <c r="G209" t="s">
        <v>11</v>
      </c>
      <c r="H209">
        <v>14.02</v>
      </c>
      <c r="I209">
        <f>Table1[[#This Row],[Quantité corrigé]]*Table1[[#This Row],[Prix_Unitaire_HT]]</f>
        <v>84.12</v>
      </c>
    </row>
    <row r="210" spans="1:9" x14ac:dyDescent="0.25">
      <c r="A210" t="s">
        <v>315</v>
      </c>
      <c r="B210" t="s">
        <v>314</v>
      </c>
      <c r="C210" s="2" t="str">
        <f t="shared" si="6"/>
        <v>mars</v>
      </c>
      <c r="D210" t="s">
        <v>61</v>
      </c>
      <c r="E210" t="s">
        <v>1578</v>
      </c>
      <c r="F210">
        <v>6</v>
      </c>
      <c r="G210" t="s">
        <v>11</v>
      </c>
      <c r="H210">
        <v>13.98</v>
      </c>
      <c r="I210">
        <f>Table1[[#This Row],[Quantité corrigé]]*Table1[[#This Row],[Prix_Unitaire_HT]]</f>
        <v>83.88</v>
      </c>
    </row>
    <row r="211" spans="1:9" x14ac:dyDescent="0.25">
      <c r="A211" t="s">
        <v>316</v>
      </c>
      <c r="B211" t="s">
        <v>314</v>
      </c>
      <c r="C211" s="2" t="str">
        <f t="shared" si="6"/>
        <v>mars</v>
      </c>
      <c r="D211" t="s">
        <v>61</v>
      </c>
      <c r="E211" t="s">
        <v>1579</v>
      </c>
      <c r="F211">
        <v>6</v>
      </c>
      <c r="G211" t="s">
        <v>17</v>
      </c>
      <c r="H211">
        <v>1.27</v>
      </c>
      <c r="I211">
        <f>Table1[[#This Row],[Quantité corrigé]]*Table1[[#This Row],[Prix_Unitaire_HT]]</f>
        <v>7.62</v>
      </c>
    </row>
    <row r="212" spans="1:9" x14ac:dyDescent="0.25">
      <c r="A212" t="s">
        <v>317</v>
      </c>
      <c r="B212" t="s">
        <v>314</v>
      </c>
      <c r="C212" s="2" t="str">
        <f t="shared" si="6"/>
        <v>mars</v>
      </c>
      <c r="D212" t="s">
        <v>19</v>
      </c>
      <c r="E212" t="s">
        <v>1580</v>
      </c>
      <c r="F212">
        <v>10</v>
      </c>
      <c r="G212" t="s">
        <v>21</v>
      </c>
      <c r="H212">
        <v>4.46</v>
      </c>
      <c r="I212">
        <f>Table1[[#This Row],[Quantité corrigé]]*Table1[[#This Row],[Prix_Unitaire_HT]]</f>
        <v>44.6</v>
      </c>
    </row>
    <row r="213" spans="1:9" x14ac:dyDescent="0.25">
      <c r="A213" t="s">
        <v>318</v>
      </c>
      <c r="B213" t="s">
        <v>314</v>
      </c>
      <c r="C213" s="2" t="str">
        <f t="shared" si="6"/>
        <v>mars</v>
      </c>
      <c r="D213" t="s">
        <v>19</v>
      </c>
      <c r="E213" t="s">
        <v>1581</v>
      </c>
      <c r="F213">
        <v>6</v>
      </c>
      <c r="G213" t="s">
        <v>25</v>
      </c>
      <c r="H213">
        <v>20.94</v>
      </c>
      <c r="I213">
        <f>Table1[[#This Row],[Quantité corrigé]]*Table1[[#This Row],[Prix_Unitaire_HT]]</f>
        <v>125.64000000000001</v>
      </c>
    </row>
    <row r="214" spans="1:9" x14ac:dyDescent="0.25">
      <c r="A214" t="s">
        <v>319</v>
      </c>
      <c r="B214" t="s">
        <v>314</v>
      </c>
      <c r="C214" s="2" t="str">
        <f t="shared" si="6"/>
        <v>mars</v>
      </c>
      <c r="D214" t="s">
        <v>19</v>
      </c>
      <c r="E214" t="s">
        <v>1582</v>
      </c>
      <c r="F214">
        <v>8</v>
      </c>
      <c r="G214" t="s">
        <v>29</v>
      </c>
      <c r="H214">
        <v>9.41</v>
      </c>
      <c r="I214">
        <f>Table1[[#This Row],[Quantité corrigé]]*Table1[[#This Row],[Prix_Unitaire_HT]]</f>
        <v>75.28</v>
      </c>
    </row>
    <row r="215" spans="1:9" x14ac:dyDescent="0.25">
      <c r="A215" t="s">
        <v>320</v>
      </c>
      <c r="B215" t="s">
        <v>321</v>
      </c>
      <c r="C215" s="2" t="str">
        <f t="shared" si="6"/>
        <v>mars</v>
      </c>
      <c r="D215" t="s">
        <v>66</v>
      </c>
      <c r="E215" t="s">
        <v>1583</v>
      </c>
      <c r="F215">
        <v>8</v>
      </c>
      <c r="G215" t="s">
        <v>17</v>
      </c>
      <c r="H215">
        <v>9.84</v>
      </c>
      <c r="I215">
        <f>Table1[[#This Row],[Quantité corrigé]]*Table1[[#This Row],[Prix_Unitaire_HT]]</f>
        <v>78.72</v>
      </c>
    </row>
    <row r="216" spans="1:9" x14ac:dyDescent="0.25">
      <c r="A216" t="s">
        <v>322</v>
      </c>
      <c r="B216" t="s">
        <v>321</v>
      </c>
      <c r="C216" s="2" t="str">
        <f t="shared" si="6"/>
        <v>mars</v>
      </c>
      <c r="D216" t="s">
        <v>66</v>
      </c>
      <c r="E216" t="s">
        <v>1584</v>
      </c>
      <c r="F216">
        <v>10</v>
      </c>
      <c r="G216" t="s">
        <v>17</v>
      </c>
      <c r="H216">
        <v>7.72</v>
      </c>
      <c r="I216">
        <f>Table1[[#This Row],[Quantité corrigé]]*Table1[[#This Row],[Prix_Unitaire_HT]]</f>
        <v>77.2</v>
      </c>
    </row>
    <row r="217" spans="1:9" x14ac:dyDescent="0.25">
      <c r="A217" t="s">
        <v>323</v>
      </c>
      <c r="B217" t="s">
        <v>321</v>
      </c>
      <c r="C217" s="2" t="str">
        <f t="shared" si="6"/>
        <v>mars</v>
      </c>
      <c r="D217" t="s">
        <v>69</v>
      </c>
      <c r="E217" t="s">
        <v>1585</v>
      </c>
      <c r="F217">
        <v>8</v>
      </c>
      <c r="G217" t="s">
        <v>39</v>
      </c>
      <c r="H217">
        <v>5.9</v>
      </c>
      <c r="I217">
        <f>Table1[[#This Row],[Quantité corrigé]]*Table1[[#This Row],[Prix_Unitaire_HT]]</f>
        <v>47.2</v>
      </c>
    </row>
    <row r="218" spans="1:9" x14ac:dyDescent="0.25">
      <c r="A218" t="s">
        <v>324</v>
      </c>
      <c r="B218" t="s">
        <v>321</v>
      </c>
      <c r="C218" s="2" t="str">
        <f t="shared" si="6"/>
        <v>mars</v>
      </c>
      <c r="D218" t="s">
        <v>69</v>
      </c>
      <c r="E218" t="s">
        <v>1586</v>
      </c>
      <c r="F218">
        <v>5</v>
      </c>
      <c r="G218" t="s">
        <v>43</v>
      </c>
      <c r="H218">
        <v>4.0599999999999996</v>
      </c>
      <c r="I218">
        <f>Table1[[#This Row],[Quantité corrigé]]*Table1[[#This Row],[Prix_Unitaire_HT]]</f>
        <v>20.299999999999997</v>
      </c>
    </row>
    <row r="219" spans="1:9" x14ac:dyDescent="0.25">
      <c r="A219" t="s">
        <v>325</v>
      </c>
      <c r="B219" t="s">
        <v>326</v>
      </c>
      <c r="C219" s="2" t="str">
        <f t="shared" si="6"/>
        <v>mars</v>
      </c>
      <c r="D219" t="s">
        <v>19</v>
      </c>
      <c r="E219" t="s">
        <v>1580</v>
      </c>
      <c r="F219">
        <v>4</v>
      </c>
      <c r="G219" t="s">
        <v>21</v>
      </c>
      <c r="H219">
        <v>4.41</v>
      </c>
      <c r="I219">
        <f>Table1[[#This Row],[Quantité corrigé]]*Table1[[#This Row],[Prix_Unitaire_HT]]</f>
        <v>17.64</v>
      </c>
    </row>
    <row r="220" spans="1:9" x14ac:dyDescent="0.25">
      <c r="A220" t="s">
        <v>327</v>
      </c>
      <c r="B220" t="s">
        <v>326</v>
      </c>
      <c r="C220" s="2" t="str">
        <f t="shared" si="6"/>
        <v>mars</v>
      </c>
      <c r="D220" t="s">
        <v>19</v>
      </c>
      <c r="E220" t="s">
        <v>1581</v>
      </c>
      <c r="F220">
        <v>4</v>
      </c>
      <c r="G220" t="s">
        <v>25</v>
      </c>
      <c r="H220">
        <v>23.48</v>
      </c>
      <c r="I220">
        <f>Table1[[#This Row],[Quantité corrigé]]*Table1[[#This Row],[Prix_Unitaire_HT]]</f>
        <v>93.92</v>
      </c>
    </row>
    <row r="221" spans="1:9" x14ac:dyDescent="0.25">
      <c r="A221" t="s">
        <v>328</v>
      </c>
      <c r="B221" t="s">
        <v>326</v>
      </c>
      <c r="C221" s="2" t="str">
        <f t="shared" si="6"/>
        <v>mars</v>
      </c>
      <c r="D221" t="s">
        <v>19</v>
      </c>
      <c r="E221" t="s">
        <v>1582</v>
      </c>
      <c r="F221">
        <v>8</v>
      </c>
      <c r="G221" t="s">
        <v>29</v>
      </c>
      <c r="H221">
        <v>9.68</v>
      </c>
      <c r="I221">
        <f>Table1[[#This Row],[Quantité corrigé]]*Table1[[#This Row],[Prix_Unitaire_HT]]</f>
        <v>77.44</v>
      </c>
    </row>
    <row r="222" spans="1:9" x14ac:dyDescent="0.25">
      <c r="A222" t="s">
        <v>329</v>
      </c>
      <c r="B222" t="s">
        <v>326</v>
      </c>
      <c r="C222" s="2" t="str">
        <f t="shared" si="6"/>
        <v>mars</v>
      </c>
      <c r="D222" t="s">
        <v>50</v>
      </c>
      <c r="E222" t="s">
        <v>1587</v>
      </c>
      <c r="F222">
        <v>4</v>
      </c>
      <c r="G222" t="s">
        <v>52</v>
      </c>
      <c r="H222">
        <v>18.64</v>
      </c>
      <c r="I222">
        <f>Table1[[#This Row],[Quantité corrigé]]*Table1[[#This Row],[Prix_Unitaire_HT]]</f>
        <v>74.56</v>
      </c>
    </row>
    <row r="223" spans="1:9" x14ac:dyDescent="0.25">
      <c r="A223" t="s">
        <v>330</v>
      </c>
      <c r="B223" t="s">
        <v>326</v>
      </c>
      <c r="C223" s="2" t="str">
        <f t="shared" si="6"/>
        <v>mars</v>
      </c>
      <c r="D223" t="s">
        <v>195</v>
      </c>
      <c r="E223" t="s">
        <v>1588</v>
      </c>
      <c r="F223">
        <v>4</v>
      </c>
      <c r="G223" t="s">
        <v>17</v>
      </c>
      <c r="H223">
        <v>8.61</v>
      </c>
      <c r="I223">
        <f>Table1[[#This Row],[Quantité corrigé]]*Table1[[#This Row],[Prix_Unitaire_HT]]</f>
        <v>34.44</v>
      </c>
    </row>
    <row r="224" spans="1:9" x14ac:dyDescent="0.25">
      <c r="A224" t="s">
        <v>331</v>
      </c>
      <c r="B224" t="s">
        <v>332</v>
      </c>
      <c r="C224" s="2" t="str">
        <f t="shared" si="6"/>
        <v>mars</v>
      </c>
      <c r="D224" t="s">
        <v>61</v>
      </c>
      <c r="E224" t="s">
        <v>1577</v>
      </c>
      <c r="F224">
        <v>4</v>
      </c>
      <c r="G224" t="s">
        <v>11</v>
      </c>
      <c r="H224">
        <v>14.61</v>
      </c>
      <c r="I224">
        <f>Table1[[#This Row],[Quantité corrigé]]*Table1[[#This Row],[Prix_Unitaire_HT]]</f>
        <v>58.44</v>
      </c>
    </row>
    <row r="225" spans="1:9" x14ac:dyDescent="0.25">
      <c r="A225" t="s">
        <v>333</v>
      </c>
      <c r="B225" t="s">
        <v>332</v>
      </c>
      <c r="C225" s="2" t="str">
        <f t="shared" si="6"/>
        <v>mars</v>
      </c>
      <c r="D225" t="s">
        <v>61</v>
      </c>
      <c r="E225" t="s">
        <v>1578</v>
      </c>
      <c r="F225">
        <v>6</v>
      </c>
      <c r="G225" t="s">
        <v>11</v>
      </c>
      <c r="H225">
        <v>13.56</v>
      </c>
      <c r="I225">
        <f>Table1[[#This Row],[Quantité corrigé]]*Table1[[#This Row],[Prix_Unitaire_HT]]</f>
        <v>81.36</v>
      </c>
    </row>
    <row r="226" spans="1:9" x14ac:dyDescent="0.25">
      <c r="A226" t="s">
        <v>334</v>
      </c>
      <c r="B226" t="s">
        <v>332</v>
      </c>
      <c r="C226" s="2" t="str">
        <f t="shared" si="6"/>
        <v>mars</v>
      </c>
      <c r="D226" t="s">
        <v>61</v>
      </c>
      <c r="E226" t="s">
        <v>1579</v>
      </c>
      <c r="F226">
        <v>6</v>
      </c>
      <c r="G226" t="s">
        <v>17</v>
      </c>
      <c r="H226">
        <v>1.26</v>
      </c>
      <c r="I226">
        <f>Table1[[#This Row],[Quantité corrigé]]*Table1[[#This Row],[Prix_Unitaire_HT]]</f>
        <v>7.5600000000000005</v>
      </c>
    </row>
    <row r="227" spans="1:9" x14ac:dyDescent="0.25">
      <c r="A227" t="s">
        <v>335</v>
      </c>
      <c r="B227" t="s">
        <v>336</v>
      </c>
      <c r="C227" s="2" t="str">
        <f t="shared" si="6"/>
        <v>mars</v>
      </c>
      <c r="D227" t="s">
        <v>66</v>
      </c>
      <c r="E227" t="s">
        <v>1583</v>
      </c>
      <c r="F227">
        <v>8</v>
      </c>
      <c r="G227" t="s">
        <v>17</v>
      </c>
      <c r="H227">
        <v>8.5299999999999994</v>
      </c>
      <c r="I227">
        <f>Table1[[#This Row],[Quantité corrigé]]*Table1[[#This Row],[Prix_Unitaire_HT]]</f>
        <v>68.239999999999995</v>
      </c>
    </row>
    <row r="228" spans="1:9" x14ac:dyDescent="0.25">
      <c r="A228" t="s">
        <v>337</v>
      </c>
      <c r="B228" t="s">
        <v>336</v>
      </c>
      <c r="C228" s="2" t="str">
        <f t="shared" si="6"/>
        <v>mars</v>
      </c>
      <c r="D228" t="s">
        <v>66</v>
      </c>
      <c r="E228" t="s">
        <v>1584</v>
      </c>
      <c r="F228">
        <v>10</v>
      </c>
      <c r="G228" t="s">
        <v>17</v>
      </c>
      <c r="H228">
        <v>7.36</v>
      </c>
      <c r="I228">
        <f>Table1[[#This Row],[Quantité corrigé]]*Table1[[#This Row],[Prix_Unitaire_HT]]</f>
        <v>73.600000000000009</v>
      </c>
    </row>
    <row r="229" spans="1:9" x14ac:dyDescent="0.25">
      <c r="A229" t="s">
        <v>338</v>
      </c>
      <c r="B229" t="s">
        <v>336</v>
      </c>
      <c r="C229" s="2" t="str">
        <f t="shared" si="6"/>
        <v>mars</v>
      </c>
      <c r="D229" t="s">
        <v>69</v>
      </c>
      <c r="E229" t="s">
        <v>1585</v>
      </c>
      <c r="F229">
        <v>8</v>
      </c>
      <c r="G229" t="s">
        <v>39</v>
      </c>
      <c r="H229">
        <v>5.98</v>
      </c>
      <c r="I229">
        <f>Table1[[#This Row],[Quantité corrigé]]*Table1[[#This Row],[Prix_Unitaire_HT]]</f>
        <v>47.84</v>
      </c>
    </row>
    <row r="230" spans="1:9" x14ac:dyDescent="0.25">
      <c r="A230" t="s">
        <v>339</v>
      </c>
      <c r="B230" t="s">
        <v>336</v>
      </c>
      <c r="C230" s="2" t="str">
        <f t="shared" si="6"/>
        <v>mars</v>
      </c>
      <c r="D230" t="s">
        <v>69</v>
      </c>
      <c r="E230" t="s">
        <v>1586</v>
      </c>
      <c r="F230">
        <v>12</v>
      </c>
      <c r="G230" t="s">
        <v>43</v>
      </c>
      <c r="H230">
        <v>3.85</v>
      </c>
      <c r="I230">
        <f>Table1[[#This Row],[Quantité corrigé]]*Table1[[#This Row],[Prix_Unitaire_HT]]</f>
        <v>46.2</v>
      </c>
    </row>
    <row r="231" spans="1:9" x14ac:dyDescent="0.25">
      <c r="A231" t="s">
        <v>340</v>
      </c>
      <c r="B231" t="s">
        <v>341</v>
      </c>
      <c r="C231" s="2" t="str">
        <f t="shared" si="6"/>
        <v>mars</v>
      </c>
      <c r="D231" t="s">
        <v>195</v>
      </c>
      <c r="E231" t="s">
        <v>1588</v>
      </c>
      <c r="F231">
        <v>10</v>
      </c>
      <c r="G231" t="s">
        <v>17</v>
      </c>
      <c r="H231">
        <v>9.7799999999999994</v>
      </c>
      <c r="I231">
        <f>Table1[[#This Row],[Quantité corrigé]]*Table1[[#This Row],[Prix_Unitaire_HT]]</f>
        <v>97.8</v>
      </c>
    </row>
    <row r="232" spans="1:9" x14ac:dyDescent="0.25">
      <c r="A232" t="s">
        <v>342</v>
      </c>
      <c r="B232" t="s">
        <v>343</v>
      </c>
      <c r="C232" s="2" t="str">
        <f t="shared" si="6"/>
        <v>mars</v>
      </c>
      <c r="D232" t="s">
        <v>61</v>
      </c>
      <c r="E232" t="s">
        <v>1577</v>
      </c>
      <c r="F232">
        <v>5</v>
      </c>
      <c r="G232" t="s">
        <v>11</v>
      </c>
      <c r="H232">
        <v>13.98</v>
      </c>
      <c r="I232">
        <f>Table1[[#This Row],[Quantité corrigé]]*Table1[[#This Row],[Prix_Unitaire_HT]]</f>
        <v>69.900000000000006</v>
      </c>
    </row>
    <row r="233" spans="1:9" x14ac:dyDescent="0.25">
      <c r="A233" t="s">
        <v>344</v>
      </c>
      <c r="B233" t="s">
        <v>343</v>
      </c>
      <c r="C233" s="2" t="str">
        <f t="shared" si="6"/>
        <v>mars</v>
      </c>
      <c r="D233" t="s">
        <v>61</v>
      </c>
      <c r="E233" t="s">
        <v>1578</v>
      </c>
      <c r="F233">
        <v>6</v>
      </c>
      <c r="G233" t="s">
        <v>11</v>
      </c>
      <c r="H233">
        <v>13.79</v>
      </c>
      <c r="I233">
        <f>Table1[[#This Row],[Quantité corrigé]]*Table1[[#This Row],[Prix_Unitaire_HT]]</f>
        <v>82.74</v>
      </c>
    </row>
    <row r="234" spans="1:9" x14ac:dyDescent="0.25">
      <c r="A234" t="s">
        <v>345</v>
      </c>
      <c r="B234" t="s">
        <v>343</v>
      </c>
      <c r="C234" s="2" t="str">
        <f t="shared" si="6"/>
        <v>mars</v>
      </c>
      <c r="D234" t="s">
        <v>61</v>
      </c>
      <c r="E234" t="s">
        <v>1579</v>
      </c>
      <c r="F234">
        <v>5</v>
      </c>
      <c r="G234" t="s">
        <v>17</v>
      </c>
      <c r="H234">
        <v>1.19</v>
      </c>
      <c r="I234">
        <f>Table1[[#This Row],[Quantité corrigé]]*Table1[[#This Row],[Prix_Unitaire_HT]]</f>
        <v>5.9499999999999993</v>
      </c>
    </row>
    <row r="235" spans="1:9" x14ac:dyDescent="0.25">
      <c r="A235" t="s">
        <v>346</v>
      </c>
      <c r="B235" t="s">
        <v>343</v>
      </c>
      <c r="C235" s="2" t="str">
        <f t="shared" si="6"/>
        <v>mars</v>
      </c>
      <c r="D235" t="s">
        <v>19</v>
      </c>
      <c r="E235" t="s">
        <v>1580</v>
      </c>
      <c r="F235">
        <v>6</v>
      </c>
      <c r="G235" t="s">
        <v>21</v>
      </c>
      <c r="H235">
        <v>4.3600000000000003</v>
      </c>
      <c r="I235">
        <f>Table1[[#This Row],[Quantité corrigé]]*Table1[[#This Row],[Prix_Unitaire_HT]]</f>
        <v>26.160000000000004</v>
      </c>
    </row>
    <row r="236" spans="1:9" x14ac:dyDescent="0.25">
      <c r="A236" t="s">
        <v>347</v>
      </c>
      <c r="B236" t="s">
        <v>343</v>
      </c>
      <c r="C236" s="2" t="str">
        <f t="shared" si="6"/>
        <v>mars</v>
      </c>
      <c r="D236" t="s">
        <v>19</v>
      </c>
      <c r="E236" t="s">
        <v>1581</v>
      </c>
      <c r="F236">
        <v>10</v>
      </c>
      <c r="G236" t="s">
        <v>25</v>
      </c>
      <c r="H236">
        <v>21.78</v>
      </c>
      <c r="I236">
        <f>Table1[[#This Row],[Quantité corrigé]]*Table1[[#This Row],[Prix_Unitaire_HT]]</f>
        <v>217.8</v>
      </c>
    </row>
    <row r="237" spans="1:9" x14ac:dyDescent="0.25">
      <c r="A237" t="s">
        <v>348</v>
      </c>
      <c r="B237" t="s">
        <v>343</v>
      </c>
      <c r="C237" s="2" t="str">
        <f t="shared" si="6"/>
        <v>mars</v>
      </c>
      <c r="D237" t="s">
        <v>19</v>
      </c>
      <c r="E237" t="s">
        <v>1582</v>
      </c>
      <c r="F237">
        <v>4</v>
      </c>
      <c r="G237" t="s">
        <v>29</v>
      </c>
      <c r="H237">
        <v>10.24</v>
      </c>
      <c r="I237">
        <f>Table1[[#This Row],[Quantité corrigé]]*Table1[[#This Row],[Prix_Unitaire_HT]]</f>
        <v>40.96</v>
      </c>
    </row>
    <row r="238" spans="1:9" x14ac:dyDescent="0.25">
      <c r="A238" t="s">
        <v>349</v>
      </c>
      <c r="B238" t="s">
        <v>350</v>
      </c>
      <c r="C238" s="2" t="str">
        <f t="shared" si="6"/>
        <v>mars</v>
      </c>
      <c r="D238" t="s">
        <v>66</v>
      </c>
      <c r="E238" t="s">
        <v>1583</v>
      </c>
      <c r="F238">
        <v>6</v>
      </c>
      <c r="G238" t="s">
        <v>17</v>
      </c>
      <c r="H238">
        <v>10.06</v>
      </c>
      <c r="I238">
        <f>Table1[[#This Row],[Quantité corrigé]]*Table1[[#This Row],[Prix_Unitaire_HT]]</f>
        <v>60.36</v>
      </c>
    </row>
    <row r="239" spans="1:9" x14ac:dyDescent="0.25">
      <c r="A239" t="s">
        <v>351</v>
      </c>
      <c r="B239" t="s">
        <v>350</v>
      </c>
      <c r="C239" s="2" t="str">
        <f t="shared" si="6"/>
        <v>mars</v>
      </c>
      <c r="D239" t="s">
        <v>66</v>
      </c>
      <c r="E239" t="s">
        <v>1584</v>
      </c>
      <c r="F239">
        <v>8</v>
      </c>
      <c r="G239" t="s">
        <v>17</v>
      </c>
      <c r="H239">
        <v>7.24</v>
      </c>
      <c r="I239">
        <f>Table1[[#This Row],[Quantité corrigé]]*Table1[[#This Row],[Prix_Unitaire_HT]]</f>
        <v>57.92</v>
      </c>
    </row>
    <row r="240" spans="1:9" x14ac:dyDescent="0.25">
      <c r="A240" t="s">
        <v>352</v>
      </c>
      <c r="B240" t="s">
        <v>350</v>
      </c>
      <c r="C240" s="2" t="str">
        <f t="shared" si="6"/>
        <v>mars</v>
      </c>
      <c r="D240" t="s">
        <v>69</v>
      </c>
      <c r="E240" t="s">
        <v>1585</v>
      </c>
      <c r="F240">
        <v>12</v>
      </c>
      <c r="G240" t="s">
        <v>39</v>
      </c>
      <c r="H240">
        <v>6</v>
      </c>
      <c r="I240">
        <f>Table1[[#This Row],[Quantité corrigé]]*Table1[[#This Row],[Prix_Unitaire_HT]]</f>
        <v>72</v>
      </c>
    </row>
    <row r="241" spans="1:9" x14ac:dyDescent="0.25">
      <c r="A241" t="s">
        <v>353</v>
      </c>
      <c r="B241" t="s">
        <v>350</v>
      </c>
      <c r="C241" s="2" t="str">
        <f t="shared" si="6"/>
        <v>mars</v>
      </c>
      <c r="D241" t="s">
        <v>69</v>
      </c>
      <c r="E241" t="s">
        <v>1586</v>
      </c>
      <c r="F241">
        <v>10</v>
      </c>
      <c r="G241" t="s">
        <v>43</v>
      </c>
      <c r="H241">
        <v>4</v>
      </c>
      <c r="I241">
        <f>Table1[[#This Row],[Quantité corrigé]]*Table1[[#This Row],[Prix_Unitaire_HT]]</f>
        <v>40</v>
      </c>
    </row>
    <row r="242" spans="1:9" x14ac:dyDescent="0.25">
      <c r="A242" t="s">
        <v>354</v>
      </c>
      <c r="B242" t="s">
        <v>355</v>
      </c>
      <c r="C242" s="2" t="str">
        <f t="shared" si="6"/>
        <v>mars</v>
      </c>
      <c r="D242" t="s">
        <v>19</v>
      </c>
      <c r="E242" t="s">
        <v>1580</v>
      </c>
      <c r="F242">
        <v>6</v>
      </c>
      <c r="G242" t="s">
        <v>21</v>
      </c>
      <c r="H242">
        <v>4.5199999999999996</v>
      </c>
      <c r="I242">
        <f>Table1[[#This Row],[Quantité corrigé]]*Table1[[#This Row],[Prix_Unitaire_HT]]</f>
        <v>27.119999999999997</v>
      </c>
    </row>
    <row r="243" spans="1:9" x14ac:dyDescent="0.25">
      <c r="A243" t="s">
        <v>356</v>
      </c>
      <c r="B243" t="s">
        <v>355</v>
      </c>
      <c r="C243" s="2" t="str">
        <f t="shared" si="6"/>
        <v>mars</v>
      </c>
      <c r="D243" t="s">
        <v>19</v>
      </c>
      <c r="E243" t="s">
        <v>1581</v>
      </c>
      <c r="F243">
        <v>10</v>
      </c>
      <c r="G243" t="s">
        <v>25</v>
      </c>
      <c r="H243">
        <v>23.36</v>
      </c>
      <c r="I243">
        <f>Table1[[#This Row],[Quantité corrigé]]*Table1[[#This Row],[Prix_Unitaire_HT]]</f>
        <v>233.6</v>
      </c>
    </row>
    <row r="244" spans="1:9" x14ac:dyDescent="0.25">
      <c r="A244" t="s">
        <v>357</v>
      </c>
      <c r="B244" t="s">
        <v>355</v>
      </c>
      <c r="C244" s="2" t="str">
        <f t="shared" si="6"/>
        <v>mars</v>
      </c>
      <c r="D244" t="s">
        <v>19</v>
      </c>
      <c r="E244" t="s">
        <v>1582</v>
      </c>
      <c r="F244">
        <v>8</v>
      </c>
      <c r="G244" t="s">
        <v>29</v>
      </c>
      <c r="H244">
        <v>9.43</v>
      </c>
      <c r="I244">
        <f>Table1[[#This Row],[Quantité corrigé]]*Table1[[#This Row],[Prix_Unitaire_HT]]</f>
        <v>75.44</v>
      </c>
    </row>
    <row r="245" spans="1:9" x14ac:dyDescent="0.25">
      <c r="A245" t="s">
        <v>358</v>
      </c>
      <c r="B245" t="s">
        <v>355</v>
      </c>
      <c r="C245" s="2" t="str">
        <f t="shared" si="6"/>
        <v>mars</v>
      </c>
      <c r="D245" t="s">
        <v>50</v>
      </c>
      <c r="E245" t="s">
        <v>1587</v>
      </c>
      <c r="F245">
        <v>4</v>
      </c>
      <c r="G245" t="s">
        <v>52</v>
      </c>
      <c r="H245">
        <v>18.52</v>
      </c>
      <c r="I245">
        <f>Table1[[#This Row],[Quantité corrigé]]*Table1[[#This Row],[Prix_Unitaire_HT]]</f>
        <v>74.08</v>
      </c>
    </row>
    <row r="246" spans="1:9" x14ac:dyDescent="0.25">
      <c r="A246" t="s">
        <v>359</v>
      </c>
      <c r="B246" t="s">
        <v>355</v>
      </c>
      <c r="C246" s="2" t="str">
        <f t="shared" si="6"/>
        <v>mars</v>
      </c>
      <c r="D246" t="s">
        <v>195</v>
      </c>
      <c r="E246" t="s">
        <v>1588</v>
      </c>
      <c r="F246">
        <v>8</v>
      </c>
      <c r="G246" t="s">
        <v>17</v>
      </c>
      <c r="H246">
        <v>9.1999999999999993</v>
      </c>
      <c r="I246">
        <f>Table1[[#This Row],[Quantité corrigé]]*Table1[[#This Row],[Prix_Unitaire_HT]]</f>
        <v>73.599999999999994</v>
      </c>
    </row>
    <row r="247" spans="1:9" x14ac:dyDescent="0.25">
      <c r="A247" t="s">
        <v>360</v>
      </c>
      <c r="B247" t="s">
        <v>361</v>
      </c>
      <c r="C247" s="2" t="str">
        <f t="shared" si="6"/>
        <v>mars</v>
      </c>
      <c r="D247" t="s">
        <v>61</v>
      </c>
      <c r="E247" t="s">
        <v>1577</v>
      </c>
      <c r="F247">
        <v>6</v>
      </c>
      <c r="G247" t="s">
        <v>11</v>
      </c>
      <c r="H247">
        <v>14</v>
      </c>
      <c r="I247">
        <f>Table1[[#This Row],[Quantité corrigé]]*Table1[[#This Row],[Prix_Unitaire_HT]]</f>
        <v>84</v>
      </c>
    </row>
    <row r="248" spans="1:9" x14ac:dyDescent="0.25">
      <c r="A248" t="s">
        <v>362</v>
      </c>
      <c r="B248" t="s">
        <v>361</v>
      </c>
      <c r="C248" s="2" t="str">
        <f t="shared" si="6"/>
        <v>mars</v>
      </c>
      <c r="D248" t="s">
        <v>61</v>
      </c>
      <c r="E248" t="s">
        <v>1578</v>
      </c>
      <c r="F248">
        <v>5</v>
      </c>
      <c r="G248" t="s">
        <v>11</v>
      </c>
      <c r="H248">
        <v>13.89</v>
      </c>
      <c r="I248">
        <f>Table1[[#This Row],[Quantité corrigé]]*Table1[[#This Row],[Prix_Unitaire_HT]]</f>
        <v>69.45</v>
      </c>
    </row>
    <row r="249" spans="1:9" x14ac:dyDescent="0.25">
      <c r="A249" t="s">
        <v>363</v>
      </c>
      <c r="B249" t="s">
        <v>361</v>
      </c>
      <c r="C249" s="2" t="str">
        <f t="shared" si="6"/>
        <v>mars</v>
      </c>
      <c r="D249" t="s">
        <v>61</v>
      </c>
      <c r="E249" t="s">
        <v>1579</v>
      </c>
      <c r="F249">
        <v>6</v>
      </c>
      <c r="G249" t="s">
        <v>17</v>
      </c>
      <c r="H249">
        <v>1.26</v>
      </c>
      <c r="I249">
        <f>Table1[[#This Row],[Quantité corrigé]]*Table1[[#This Row],[Prix_Unitaire_HT]]</f>
        <v>7.5600000000000005</v>
      </c>
    </row>
    <row r="250" spans="1:9" x14ac:dyDescent="0.25">
      <c r="A250" t="s">
        <v>364</v>
      </c>
      <c r="B250" t="s">
        <v>365</v>
      </c>
      <c r="C250" s="2" t="str">
        <f t="shared" si="6"/>
        <v>mars</v>
      </c>
      <c r="D250" t="s">
        <v>66</v>
      </c>
      <c r="E250" t="s">
        <v>1583</v>
      </c>
      <c r="F250">
        <v>5</v>
      </c>
      <c r="G250" t="s">
        <v>17</v>
      </c>
      <c r="H250">
        <v>8.6300000000000008</v>
      </c>
      <c r="I250">
        <f>Table1[[#This Row],[Quantité corrigé]]*Table1[[#This Row],[Prix_Unitaire_HT]]</f>
        <v>43.150000000000006</v>
      </c>
    </row>
    <row r="251" spans="1:9" x14ac:dyDescent="0.25">
      <c r="A251" t="s">
        <v>366</v>
      </c>
      <c r="B251" t="s">
        <v>365</v>
      </c>
      <c r="C251" s="2" t="str">
        <f t="shared" si="6"/>
        <v>mars</v>
      </c>
      <c r="D251" t="s">
        <v>66</v>
      </c>
      <c r="E251" t="s">
        <v>1584</v>
      </c>
      <c r="F251">
        <v>5</v>
      </c>
      <c r="G251" t="s">
        <v>17</v>
      </c>
      <c r="H251">
        <v>7.77</v>
      </c>
      <c r="I251">
        <f>Table1[[#This Row],[Quantité corrigé]]*Table1[[#This Row],[Prix_Unitaire_HT]]</f>
        <v>38.849999999999994</v>
      </c>
    </row>
    <row r="252" spans="1:9" x14ac:dyDescent="0.25">
      <c r="A252" t="s">
        <v>367</v>
      </c>
      <c r="B252" t="s">
        <v>365</v>
      </c>
      <c r="C252" s="2" t="str">
        <f t="shared" si="6"/>
        <v>mars</v>
      </c>
      <c r="D252" t="s">
        <v>69</v>
      </c>
      <c r="E252" t="s">
        <v>1585</v>
      </c>
      <c r="F252">
        <v>10</v>
      </c>
      <c r="G252" t="s">
        <v>39</v>
      </c>
      <c r="H252">
        <v>5.82</v>
      </c>
      <c r="I252">
        <f>Table1[[#This Row],[Quantité corrigé]]*Table1[[#This Row],[Prix_Unitaire_HT]]</f>
        <v>58.2</v>
      </c>
    </row>
    <row r="253" spans="1:9" x14ac:dyDescent="0.25">
      <c r="A253" t="s">
        <v>368</v>
      </c>
      <c r="B253" t="s">
        <v>365</v>
      </c>
      <c r="C253" s="2" t="str">
        <f t="shared" si="6"/>
        <v>mars</v>
      </c>
      <c r="D253" t="s">
        <v>69</v>
      </c>
      <c r="E253" t="s">
        <v>1586</v>
      </c>
      <c r="F253">
        <v>8</v>
      </c>
      <c r="G253" t="s">
        <v>43</v>
      </c>
      <c r="H253">
        <v>3.96</v>
      </c>
      <c r="I253">
        <f>Table1[[#This Row],[Quantité corrigé]]*Table1[[#This Row],[Prix_Unitaire_HT]]</f>
        <v>31.68</v>
      </c>
    </row>
    <row r="254" spans="1:9" x14ac:dyDescent="0.25">
      <c r="A254" t="s">
        <v>369</v>
      </c>
      <c r="B254" t="s">
        <v>370</v>
      </c>
      <c r="C254" s="2" t="str">
        <f t="shared" si="6"/>
        <v>mars</v>
      </c>
      <c r="D254" t="s">
        <v>195</v>
      </c>
      <c r="E254" t="s">
        <v>1588</v>
      </c>
      <c r="F254">
        <v>10</v>
      </c>
      <c r="G254" t="s">
        <v>17</v>
      </c>
      <c r="H254">
        <v>9.5500000000000007</v>
      </c>
      <c r="I254">
        <f>Table1[[#This Row],[Quantité corrigé]]*Table1[[#This Row],[Prix_Unitaire_HT]]</f>
        <v>95.5</v>
      </c>
    </row>
    <row r="255" spans="1:9" x14ac:dyDescent="0.25">
      <c r="A255" t="s">
        <v>371</v>
      </c>
      <c r="B255" t="s">
        <v>372</v>
      </c>
      <c r="C255" s="2" t="str">
        <f t="shared" si="6"/>
        <v>mars</v>
      </c>
      <c r="D255" t="s">
        <v>61</v>
      </c>
      <c r="E255" t="s">
        <v>1577</v>
      </c>
      <c r="F255">
        <v>3</v>
      </c>
      <c r="G255" t="s">
        <v>11</v>
      </c>
      <c r="H255">
        <v>14.86</v>
      </c>
      <c r="I255">
        <f>Table1[[#This Row],[Quantité corrigé]]*Table1[[#This Row],[Prix_Unitaire_HT]]</f>
        <v>44.58</v>
      </c>
    </row>
    <row r="256" spans="1:9" x14ac:dyDescent="0.25">
      <c r="A256" t="s">
        <v>373</v>
      </c>
      <c r="B256" t="s">
        <v>372</v>
      </c>
      <c r="C256" s="2" t="str">
        <f t="shared" si="6"/>
        <v>mars</v>
      </c>
      <c r="D256" t="s">
        <v>61</v>
      </c>
      <c r="E256" t="s">
        <v>1578</v>
      </c>
      <c r="F256">
        <v>4</v>
      </c>
      <c r="G256" t="s">
        <v>11</v>
      </c>
      <c r="H256">
        <v>13.82</v>
      </c>
      <c r="I256">
        <f>Table1[[#This Row],[Quantité corrigé]]*Table1[[#This Row],[Prix_Unitaire_HT]]</f>
        <v>55.28</v>
      </c>
    </row>
    <row r="257" spans="1:9" x14ac:dyDescent="0.25">
      <c r="A257" t="s">
        <v>374</v>
      </c>
      <c r="B257" t="s">
        <v>372</v>
      </c>
      <c r="C257" s="2" t="str">
        <f t="shared" si="6"/>
        <v>mars</v>
      </c>
      <c r="D257" t="s">
        <v>61</v>
      </c>
      <c r="E257" t="s">
        <v>1579</v>
      </c>
      <c r="F257">
        <v>5</v>
      </c>
      <c r="G257" t="s">
        <v>17</v>
      </c>
      <c r="H257">
        <v>1.17</v>
      </c>
      <c r="I257">
        <f>Table1[[#This Row],[Quantité corrigé]]*Table1[[#This Row],[Prix_Unitaire_HT]]</f>
        <v>5.85</v>
      </c>
    </row>
    <row r="258" spans="1:9" x14ac:dyDescent="0.25">
      <c r="A258" t="s">
        <v>375</v>
      </c>
      <c r="B258" t="s">
        <v>372</v>
      </c>
      <c r="C258" s="2" t="str">
        <f t="shared" ref="C258:C321" si="7">TEXT(DATE(2024,MID(B258,4,2),_xlfn.TEXTBEFORE(B258,"/",1)),"mmmm")</f>
        <v>mars</v>
      </c>
      <c r="D258" t="s">
        <v>19</v>
      </c>
      <c r="E258" t="s">
        <v>1580</v>
      </c>
      <c r="F258">
        <v>10</v>
      </c>
      <c r="G258" t="s">
        <v>21</v>
      </c>
      <c r="H258">
        <v>4.51</v>
      </c>
      <c r="I258">
        <f>Table1[[#This Row],[Quantité corrigé]]*Table1[[#This Row],[Prix_Unitaire_HT]]</f>
        <v>45.099999999999994</v>
      </c>
    </row>
    <row r="259" spans="1:9" x14ac:dyDescent="0.25">
      <c r="A259" t="s">
        <v>376</v>
      </c>
      <c r="B259" t="s">
        <v>372</v>
      </c>
      <c r="C259" s="2" t="str">
        <f t="shared" si="7"/>
        <v>mars</v>
      </c>
      <c r="D259" t="s">
        <v>19</v>
      </c>
      <c r="E259" t="s">
        <v>1581</v>
      </c>
      <c r="F259">
        <v>4</v>
      </c>
      <c r="G259" t="s">
        <v>25</v>
      </c>
      <c r="H259">
        <v>22.74</v>
      </c>
      <c r="I259">
        <f>Table1[[#This Row],[Quantité corrigé]]*Table1[[#This Row],[Prix_Unitaire_HT]]</f>
        <v>90.96</v>
      </c>
    </row>
    <row r="260" spans="1:9" x14ac:dyDescent="0.25">
      <c r="A260" t="s">
        <v>377</v>
      </c>
      <c r="B260" t="s">
        <v>372</v>
      </c>
      <c r="C260" s="2" t="str">
        <f t="shared" si="7"/>
        <v>mars</v>
      </c>
      <c r="D260" t="s">
        <v>19</v>
      </c>
      <c r="E260" t="s">
        <v>1582</v>
      </c>
      <c r="F260">
        <v>6</v>
      </c>
      <c r="G260" t="s">
        <v>29</v>
      </c>
      <c r="H260">
        <v>9.6199999999999992</v>
      </c>
      <c r="I260">
        <f>Table1[[#This Row],[Quantité corrigé]]*Table1[[#This Row],[Prix_Unitaire_HT]]</f>
        <v>57.72</v>
      </c>
    </row>
    <row r="261" spans="1:9" x14ac:dyDescent="0.25">
      <c r="A261" t="s">
        <v>378</v>
      </c>
      <c r="B261" t="s">
        <v>379</v>
      </c>
      <c r="C261" s="2" t="str">
        <f t="shared" si="7"/>
        <v>mars</v>
      </c>
      <c r="D261" t="s">
        <v>66</v>
      </c>
      <c r="E261" t="s">
        <v>1583</v>
      </c>
      <c r="F261">
        <v>12</v>
      </c>
      <c r="G261" t="s">
        <v>17</v>
      </c>
      <c r="H261">
        <v>8.52</v>
      </c>
      <c r="I261">
        <f>Table1[[#This Row],[Quantité corrigé]]*Table1[[#This Row],[Prix_Unitaire_HT]]</f>
        <v>102.24</v>
      </c>
    </row>
    <row r="262" spans="1:9" x14ac:dyDescent="0.25">
      <c r="A262" t="s">
        <v>380</v>
      </c>
      <c r="B262" t="s">
        <v>379</v>
      </c>
      <c r="C262" s="2" t="str">
        <f t="shared" si="7"/>
        <v>mars</v>
      </c>
      <c r="D262" t="s">
        <v>66</v>
      </c>
      <c r="E262" t="s">
        <v>1584</v>
      </c>
      <c r="F262">
        <v>6</v>
      </c>
      <c r="G262" t="s">
        <v>17</v>
      </c>
      <c r="H262">
        <v>7.56</v>
      </c>
      <c r="I262">
        <f>Table1[[#This Row],[Quantité corrigé]]*Table1[[#This Row],[Prix_Unitaire_HT]]</f>
        <v>45.36</v>
      </c>
    </row>
    <row r="263" spans="1:9" x14ac:dyDescent="0.25">
      <c r="A263" t="s">
        <v>381</v>
      </c>
      <c r="B263" t="s">
        <v>379</v>
      </c>
      <c r="C263" s="2" t="str">
        <f t="shared" si="7"/>
        <v>mars</v>
      </c>
      <c r="D263" t="s">
        <v>69</v>
      </c>
      <c r="E263" t="s">
        <v>1585</v>
      </c>
      <c r="F263">
        <v>5</v>
      </c>
      <c r="G263" t="s">
        <v>39</v>
      </c>
      <c r="H263">
        <v>5.96</v>
      </c>
      <c r="I263">
        <f>Table1[[#This Row],[Quantité corrigé]]*Table1[[#This Row],[Prix_Unitaire_HT]]</f>
        <v>29.8</v>
      </c>
    </row>
    <row r="264" spans="1:9" x14ac:dyDescent="0.25">
      <c r="A264" t="s">
        <v>382</v>
      </c>
      <c r="B264" t="s">
        <v>379</v>
      </c>
      <c r="C264" s="2" t="str">
        <f t="shared" si="7"/>
        <v>mars</v>
      </c>
      <c r="D264" t="s">
        <v>69</v>
      </c>
      <c r="E264" t="s">
        <v>1586</v>
      </c>
      <c r="F264">
        <v>10</v>
      </c>
      <c r="G264" t="s">
        <v>43</v>
      </c>
      <c r="H264">
        <v>4.05</v>
      </c>
      <c r="I264">
        <f>Table1[[#This Row],[Quantité corrigé]]*Table1[[#This Row],[Prix_Unitaire_HT]]</f>
        <v>40.5</v>
      </c>
    </row>
    <row r="265" spans="1:9" x14ac:dyDescent="0.25">
      <c r="A265" t="s">
        <v>383</v>
      </c>
      <c r="B265" t="s">
        <v>384</v>
      </c>
      <c r="C265" s="2" t="str">
        <f t="shared" si="7"/>
        <v>mars</v>
      </c>
      <c r="D265" t="s">
        <v>19</v>
      </c>
      <c r="E265" t="s">
        <v>1580</v>
      </c>
      <c r="F265">
        <v>4</v>
      </c>
      <c r="G265" t="s">
        <v>21</v>
      </c>
      <c r="H265">
        <v>4.3499999999999996</v>
      </c>
      <c r="I265">
        <f>Table1[[#This Row],[Quantité corrigé]]*Table1[[#This Row],[Prix_Unitaire_HT]]</f>
        <v>17.399999999999999</v>
      </c>
    </row>
    <row r="266" spans="1:9" x14ac:dyDescent="0.25">
      <c r="A266" t="s">
        <v>385</v>
      </c>
      <c r="B266" t="s">
        <v>384</v>
      </c>
      <c r="C266" s="2" t="str">
        <f t="shared" si="7"/>
        <v>mars</v>
      </c>
      <c r="D266" t="s">
        <v>19</v>
      </c>
      <c r="E266" t="s">
        <v>1581</v>
      </c>
      <c r="F266">
        <v>6</v>
      </c>
      <c r="G266" t="s">
        <v>25</v>
      </c>
      <c r="H266">
        <v>23.16</v>
      </c>
      <c r="I266">
        <f>Table1[[#This Row],[Quantité corrigé]]*Table1[[#This Row],[Prix_Unitaire_HT]]</f>
        <v>138.96</v>
      </c>
    </row>
    <row r="267" spans="1:9" x14ac:dyDescent="0.25">
      <c r="A267" t="s">
        <v>386</v>
      </c>
      <c r="B267" t="s">
        <v>384</v>
      </c>
      <c r="C267" s="2" t="str">
        <f t="shared" si="7"/>
        <v>mars</v>
      </c>
      <c r="D267" t="s">
        <v>19</v>
      </c>
      <c r="E267" t="s">
        <v>1582</v>
      </c>
      <c r="F267">
        <v>4</v>
      </c>
      <c r="G267" t="s">
        <v>29</v>
      </c>
      <c r="H267">
        <v>9.5299999999999994</v>
      </c>
      <c r="I267">
        <f>Table1[[#This Row],[Quantité corrigé]]*Table1[[#This Row],[Prix_Unitaire_HT]]</f>
        <v>38.119999999999997</v>
      </c>
    </row>
    <row r="268" spans="1:9" x14ac:dyDescent="0.25">
      <c r="A268" t="s">
        <v>387</v>
      </c>
      <c r="B268" t="s">
        <v>384</v>
      </c>
      <c r="C268" s="2" t="str">
        <f t="shared" si="7"/>
        <v>mars</v>
      </c>
      <c r="D268" t="s">
        <v>50</v>
      </c>
      <c r="E268" t="s">
        <v>1587</v>
      </c>
      <c r="F268">
        <v>4</v>
      </c>
      <c r="G268" t="s">
        <v>52</v>
      </c>
      <c r="H268">
        <v>18.64</v>
      </c>
      <c r="I268">
        <f>Table1[[#This Row],[Quantité corrigé]]*Table1[[#This Row],[Prix_Unitaire_HT]]</f>
        <v>74.56</v>
      </c>
    </row>
    <row r="269" spans="1:9" x14ac:dyDescent="0.25">
      <c r="A269" t="s">
        <v>388</v>
      </c>
      <c r="B269" t="s">
        <v>384</v>
      </c>
      <c r="C269" s="2" t="str">
        <f t="shared" si="7"/>
        <v>mars</v>
      </c>
      <c r="D269" t="s">
        <v>195</v>
      </c>
      <c r="E269" t="s">
        <v>1588</v>
      </c>
      <c r="F269">
        <v>4</v>
      </c>
      <c r="G269" t="s">
        <v>17</v>
      </c>
      <c r="H269">
        <v>9.4700000000000006</v>
      </c>
      <c r="I269">
        <f>Table1[[#This Row],[Quantité corrigé]]*Table1[[#This Row],[Prix_Unitaire_HT]]</f>
        <v>37.880000000000003</v>
      </c>
    </row>
    <row r="270" spans="1:9" x14ac:dyDescent="0.25">
      <c r="A270" t="s">
        <v>389</v>
      </c>
      <c r="B270" t="s">
        <v>390</v>
      </c>
      <c r="C270" s="2" t="str">
        <f t="shared" si="7"/>
        <v>mars</v>
      </c>
      <c r="D270" t="s">
        <v>61</v>
      </c>
      <c r="E270" t="s">
        <v>1577</v>
      </c>
      <c r="F270">
        <v>3</v>
      </c>
      <c r="G270" t="s">
        <v>11</v>
      </c>
      <c r="H270">
        <v>14.91</v>
      </c>
      <c r="I270">
        <f>Table1[[#This Row],[Quantité corrigé]]*Table1[[#This Row],[Prix_Unitaire_HT]]</f>
        <v>44.730000000000004</v>
      </c>
    </row>
    <row r="271" spans="1:9" x14ac:dyDescent="0.25">
      <c r="A271" t="s">
        <v>391</v>
      </c>
      <c r="B271" t="s">
        <v>390</v>
      </c>
      <c r="C271" s="2" t="str">
        <f t="shared" si="7"/>
        <v>mars</v>
      </c>
      <c r="D271" t="s">
        <v>61</v>
      </c>
      <c r="E271" t="s">
        <v>1578</v>
      </c>
      <c r="F271">
        <v>5</v>
      </c>
      <c r="G271" t="s">
        <v>11</v>
      </c>
      <c r="H271">
        <v>13.35</v>
      </c>
      <c r="I271">
        <f>Table1[[#This Row],[Quantité corrigé]]*Table1[[#This Row],[Prix_Unitaire_HT]]</f>
        <v>66.75</v>
      </c>
    </row>
    <row r="272" spans="1:9" x14ac:dyDescent="0.25">
      <c r="A272" t="s">
        <v>392</v>
      </c>
      <c r="B272" t="s">
        <v>390</v>
      </c>
      <c r="C272" s="2" t="str">
        <f t="shared" si="7"/>
        <v>mars</v>
      </c>
      <c r="D272" t="s">
        <v>61</v>
      </c>
      <c r="E272" t="s">
        <v>1579</v>
      </c>
      <c r="F272">
        <v>6</v>
      </c>
      <c r="G272" t="s">
        <v>17</v>
      </c>
      <c r="H272">
        <v>1.26</v>
      </c>
      <c r="I272">
        <f>Table1[[#This Row],[Quantité corrigé]]*Table1[[#This Row],[Prix_Unitaire_HT]]</f>
        <v>7.5600000000000005</v>
      </c>
    </row>
    <row r="273" spans="1:9" x14ac:dyDescent="0.25">
      <c r="A273" t="s">
        <v>393</v>
      </c>
      <c r="B273" t="s">
        <v>394</v>
      </c>
      <c r="C273" s="2" t="str">
        <f t="shared" si="7"/>
        <v>mars</v>
      </c>
      <c r="D273" t="s">
        <v>66</v>
      </c>
      <c r="E273" t="s">
        <v>1583</v>
      </c>
      <c r="F273">
        <v>10</v>
      </c>
      <c r="G273" t="s">
        <v>17</v>
      </c>
      <c r="H273">
        <v>9.48</v>
      </c>
      <c r="I273">
        <f>Table1[[#This Row],[Quantité corrigé]]*Table1[[#This Row],[Prix_Unitaire_HT]]</f>
        <v>94.800000000000011</v>
      </c>
    </row>
    <row r="274" spans="1:9" x14ac:dyDescent="0.25">
      <c r="A274" t="s">
        <v>395</v>
      </c>
      <c r="B274" t="s">
        <v>394</v>
      </c>
      <c r="C274" s="2" t="str">
        <f t="shared" si="7"/>
        <v>mars</v>
      </c>
      <c r="D274" t="s">
        <v>66</v>
      </c>
      <c r="E274" t="s">
        <v>1584</v>
      </c>
      <c r="F274">
        <v>6</v>
      </c>
      <c r="G274" t="s">
        <v>17</v>
      </c>
      <c r="H274">
        <v>7</v>
      </c>
      <c r="I274">
        <f>Table1[[#This Row],[Quantité corrigé]]*Table1[[#This Row],[Prix_Unitaire_HT]]</f>
        <v>42</v>
      </c>
    </row>
    <row r="275" spans="1:9" x14ac:dyDescent="0.25">
      <c r="A275" t="s">
        <v>396</v>
      </c>
      <c r="B275" t="s">
        <v>394</v>
      </c>
      <c r="C275" s="2" t="str">
        <f t="shared" si="7"/>
        <v>mars</v>
      </c>
      <c r="D275" t="s">
        <v>69</v>
      </c>
      <c r="E275" t="s">
        <v>1585</v>
      </c>
      <c r="F275">
        <v>10</v>
      </c>
      <c r="G275" t="s">
        <v>39</v>
      </c>
      <c r="H275">
        <v>5.9</v>
      </c>
      <c r="I275">
        <f>Table1[[#This Row],[Quantité corrigé]]*Table1[[#This Row],[Prix_Unitaire_HT]]</f>
        <v>59</v>
      </c>
    </row>
    <row r="276" spans="1:9" x14ac:dyDescent="0.25">
      <c r="A276" t="s">
        <v>397</v>
      </c>
      <c r="B276" t="s">
        <v>394</v>
      </c>
      <c r="C276" s="2" t="str">
        <f t="shared" si="7"/>
        <v>mars</v>
      </c>
      <c r="D276" t="s">
        <v>69</v>
      </c>
      <c r="E276" t="s">
        <v>1586</v>
      </c>
      <c r="F276">
        <v>12</v>
      </c>
      <c r="G276" t="s">
        <v>43</v>
      </c>
      <c r="H276">
        <v>3.93</v>
      </c>
      <c r="I276">
        <f>Table1[[#This Row],[Quantité corrigé]]*Table1[[#This Row],[Prix_Unitaire_HT]]</f>
        <v>47.160000000000004</v>
      </c>
    </row>
    <row r="277" spans="1:9" x14ac:dyDescent="0.25">
      <c r="A277" t="s">
        <v>398</v>
      </c>
      <c r="B277" t="s">
        <v>399</v>
      </c>
      <c r="C277" s="2" t="str">
        <f t="shared" si="7"/>
        <v>mars</v>
      </c>
      <c r="D277" t="s">
        <v>195</v>
      </c>
      <c r="E277" t="s">
        <v>1588</v>
      </c>
      <c r="F277">
        <v>6</v>
      </c>
      <c r="G277" t="s">
        <v>17</v>
      </c>
      <c r="H277">
        <v>9.58</v>
      </c>
      <c r="I277">
        <f>Table1[[#This Row],[Quantité corrigé]]*Table1[[#This Row],[Prix_Unitaire_HT]]</f>
        <v>57.480000000000004</v>
      </c>
    </row>
    <row r="278" spans="1:9" x14ac:dyDescent="0.25">
      <c r="A278" t="s">
        <v>400</v>
      </c>
      <c r="B278" t="s">
        <v>401</v>
      </c>
      <c r="C278" s="2" t="str">
        <f t="shared" si="7"/>
        <v>mars</v>
      </c>
      <c r="D278" t="s">
        <v>61</v>
      </c>
      <c r="E278" t="s">
        <v>1577</v>
      </c>
      <c r="F278">
        <v>6</v>
      </c>
      <c r="G278" t="s">
        <v>11</v>
      </c>
      <c r="H278">
        <v>14.41</v>
      </c>
      <c r="I278">
        <f>Table1[[#This Row],[Quantité corrigé]]*Table1[[#This Row],[Prix_Unitaire_HT]]</f>
        <v>86.460000000000008</v>
      </c>
    </row>
    <row r="279" spans="1:9" x14ac:dyDescent="0.25">
      <c r="A279" t="s">
        <v>402</v>
      </c>
      <c r="B279" t="s">
        <v>401</v>
      </c>
      <c r="C279" s="2" t="str">
        <f t="shared" si="7"/>
        <v>mars</v>
      </c>
      <c r="D279" t="s">
        <v>61</v>
      </c>
      <c r="E279" t="s">
        <v>1578</v>
      </c>
      <c r="F279">
        <v>3</v>
      </c>
      <c r="G279" t="s">
        <v>11</v>
      </c>
      <c r="H279">
        <v>13.18</v>
      </c>
      <c r="I279">
        <f>Table1[[#This Row],[Quantité corrigé]]*Table1[[#This Row],[Prix_Unitaire_HT]]</f>
        <v>39.54</v>
      </c>
    </row>
    <row r="280" spans="1:9" x14ac:dyDescent="0.25">
      <c r="A280" t="s">
        <v>403</v>
      </c>
      <c r="B280" t="s">
        <v>401</v>
      </c>
      <c r="C280" s="2" t="str">
        <f t="shared" si="7"/>
        <v>mars</v>
      </c>
      <c r="D280" t="s">
        <v>61</v>
      </c>
      <c r="E280" t="s">
        <v>1579</v>
      </c>
      <c r="F280">
        <v>5</v>
      </c>
      <c r="G280" t="s">
        <v>17</v>
      </c>
      <c r="H280">
        <v>1.27</v>
      </c>
      <c r="I280">
        <f>Table1[[#This Row],[Quantité corrigé]]*Table1[[#This Row],[Prix_Unitaire_HT]]</f>
        <v>6.35</v>
      </c>
    </row>
    <row r="281" spans="1:9" x14ac:dyDescent="0.25">
      <c r="A281" t="s">
        <v>404</v>
      </c>
      <c r="B281" t="s">
        <v>401</v>
      </c>
      <c r="C281" s="2" t="str">
        <f t="shared" si="7"/>
        <v>mars</v>
      </c>
      <c r="D281" t="s">
        <v>19</v>
      </c>
      <c r="E281" t="s">
        <v>1580</v>
      </c>
      <c r="F281">
        <v>4</v>
      </c>
      <c r="G281" t="s">
        <v>21</v>
      </c>
      <c r="H281">
        <v>4.03</v>
      </c>
      <c r="I281">
        <f>Table1[[#This Row],[Quantité corrigé]]*Table1[[#This Row],[Prix_Unitaire_HT]]</f>
        <v>16.12</v>
      </c>
    </row>
    <row r="282" spans="1:9" x14ac:dyDescent="0.25">
      <c r="A282" t="s">
        <v>405</v>
      </c>
      <c r="B282" t="s">
        <v>401</v>
      </c>
      <c r="C282" s="2" t="str">
        <f t="shared" si="7"/>
        <v>mars</v>
      </c>
      <c r="D282" t="s">
        <v>19</v>
      </c>
      <c r="E282" t="s">
        <v>1581</v>
      </c>
      <c r="F282">
        <v>8</v>
      </c>
      <c r="G282" t="s">
        <v>25</v>
      </c>
      <c r="H282">
        <v>23.03</v>
      </c>
      <c r="I282">
        <f>Table1[[#This Row],[Quantité corrigé]]*Table1[[#This Row],[Prix_Unitaire_HT]]</f>
        <v>184.24</v>
      </c>
    </row>
    <row r="283" spans="1:9" x14ac:dyDescent="0.25">
      <c r="A283" t="s">
        <v>406</v>
      </c>
      <c r="B283" t="s">
        <v>401</v>
      </c>
      <c r="C283" s="2" t="str">
        <f t="shared" si="7"/>
        <v>mars</v>
      </c>
      <c r="D283" t="s">
        <v>19</v>
      </c>
      <c r="E283" t="s">
        <v>1582</v>
      </c>
      <c r="F283">
        <v>8</v>
      </c>
      <c r="G283" t="s">
        <v>29</v>
      </c>
      <c r="H283">
        <v>10.06</v>
      </c>
      <c r="I283">
        <f>Table1[[#This Row],[Quantité corrigé]]*Table1[[#This Row],[Prix_Unitaire_HT]]</f>
        <v>80.48</v>
      </c>
    </row>
    <row r="284" spans="1:9" x14ac:dyDescent="0.25">
      <c r="A284" t="s">
        <v>407</v>
      </c>
      <c r="B284" t="s">
        <v>408</v>
      </c>
      <c r="C284" s="2" t="str">
        <f t="shared" si="7"/>
        <v>mars</v>
      </c>
      <c r="D284" t="s">
        <v>66</v>
      </c>
      <c r="E284" t="s">
        <v>1583</v>
      </c>
      <c r="F284">
        <v>10</v>
      </c>
      <c r="G284" t="s">
        <v>17</v>
      </c>
      <c r="H284">
        <v>9.17</v>
      </c>
      <c r="I284">
        <f>Table1[[#This Row],[Quantité corrigé]]*Table1[[#This Row],[Prix_Unitaire_HT]]</f>
        <v>91.7</v>
      </c>
    </row>
    <row r="285" spans="1:9" x14ac:dyDescent="0.25">
      <c r="A285" t="s">
        <v>409</v>
      </c>
      <c r="B285" t="s">
        <v>408</v>
      </c>
      <c r="C285" s="2" t="str">
        <f t="shared" si="7"/>
        <v>mars</v>
      </c>
      <c r="D285" t="s">
        <v>66</v>
      </c>
      <c r="E285" t="s">
        <v>1584</v>
      </c>
      <c r="F285">
        <v>12</v>
      </c>
      <c r="G285" t="s">
        <v>17</v>
      </c>
      <c r="H285">
        <v>7.74</v>
      </c>
      <c r="I285">
        <f>Table1[[#This Row],[Quantité corrigé]]*Table1[[#This Row],[Prix_Unitaire_HT]]</f>
        <v>92.88</v>
      </c>
    </row>
    <row r="286" spans="1:9" x14ac:dyDescent="0.25">
      <c r="A286" t="s">
        <v>410</v>
      </c>
      <c r="B286" t="s">
        <v>408</v>
      </c>
      <c r="C286" s="2" t="str">
        <f t="shared" si="7"/>
        <v>mars</v>
      </c>
      <c r="D286" t="s">
        <v>69</v>
      </c>
      <c r="E286" t="s">
        <v>1585</v>
      </c>
      <c r="F286">
        <v>8</v>
      </c>
      <c r="G286" t="s">
        <v>39</v>
      </c>
      <c r="H286">
        <v>5.89</v>
      </c>
      <c r="I286">
        <f>Table1[[#This Row],[Quantité corrigé]]*Table1[[#This Row],[Prix_Unitaire_HT]]</f>
        <v>47.12</v>
      </c>
    </row>
    <row r="287" spans="1:9" x14ac:dyDescent="0.25">
      <c r="A287" t="s">
        <v>411</v>
      </c>
      <c r="B287" t="s">
        <v>408</v>
      </c>
      <c r="C287" s="2" t="str">
        <f t="shared" si="7"/>
        <v>mars</v>
      </c>
      <c r="D287" t="s">
        <v>69</v>
      </c>
      <c r="E287" t="s">
        <v>1586</v>
      </c>
      <c r="F287">
        <v>5</v>
      </c>
      <c r="G287" t="s">
        <v>43</v>
      </c>
      <c r="H287">
        <v>3.87</v>
      </c>
      <c r="I287">
        <f>Table1[[#This Row],[Quantité corrigé]]*Table1[[#This Row],[Prix_Unitaire_HT]]</f>
        <v>19.350000000000001</v>
      </c>
    </row>
    <row r="288" spans="1:9" x14ac:dyDescent="0.25">
      <c r="A288" t="s">
        <v>412</v>
      </c>
      <c r="B288" t="s">
        <v>413</v>
      </c>
      <c r="C288" s="2" t="str">
        <f t="shared" si="7"/>
        <v>mars</v>
      </c>
      <c r="D288" t="s">
        <v>19</v>
      </c>
      <c r="E288" t="s">
        <v>1580</v>
      </c>
      <c r="F288">
        <v>8</v>
      </c>
      <c r="G288" t="s">
        <v>21</v>
      </c>
      <c r="H288">
        <v>4.05</v>
      </c>
      <c r="I288">
        <f>Table1[[#This Row],[Quantité corrigé]]*Table1[[#This Row],[Prix_Unitaire_HT]]</f>
        <v>32.4</v>
      </c>
    </row>
    <row r="289" spans="1:9" x14ac:dyDescent="0.25">
      <c r="A289" t="s">
        <v>414</v>
      </c>
      <c r="B289" t="s">
        <v>413</v>
      </c>
      <c r="C289" s="2" t="str">
        <f t="shared" si="7"/>
        <v>mars</v>
      </c>
      <c r="D289" t="s">
        <v>19</v>
      </c>
      <c r="E289" t="s">
        <v>1581</v>
      </c>
      <c r="F289">
        <v>4</v>
      </c>
      <c r="G289" t="s">
        <v>25</v>
      </c>
      <c r="H289">
        <v>23.32</v>
      </c>
      <c r="I289">
        <f>Table1[[#This Row],[Quantité corrigé]]*Table1[[#This Row],[Prix_Unitaire_HT]]</f>
        <v>93.28</v>
      </c>
    </row>
    <row r="290" spans="1:9" x14ac:dyDescent="0.25">
      <c r="A290" t="s">
        <v>415</v>
      </c>
      <c r="B290" t="s">
        <v>413</v>
      </c>
      <c r="C290" s="2" t="str">
        <f t="shared" si="7"/>
        <v>mars</v>
      </c>
      <c r="D290" t="s">
        <v>19</v>
      </c>
      <c r="E290" t="s">
        <v>1582</v>
      </c>
      <c r="F290">
        <v>8</v>
      </c>
      <c r="G290" t="s">
        <v>29</v>
      </c>
      <c r="H290">
        <v>9.35</v>
      </c>
      <c r="I290">
        <f>Table1[[#This Row],[Quantité corrigé]]*Table1[[#This Row],[Prix_Unitaire_HT]]</f>
        <v>74.8</v>
      </c>
    </row>
    <row r="291" spans="1:9" x14ac:dyDescent="0.25">
      <c r="A291" t="s">
        <v>416</v>
      </c>
      <c r="B291" t="s">
        <v>413</v>
      </c>
      <c r="C291" s="2" t="str">
        <f t="shared" si="7"/>
        <v>mars</v>
      </c>
      <c r="D291" t="s">
        <v>50</v>
      </c>
      <c r="E291" t="s">
        <v>1587</v>
      </c>
      <c r="F291">
        <v>2</v>
      </c>
      <c r="G291" t="s">
        <v>52</v>
      </c>
      <c r="H291">
        <v>19.29</v>
      </c>
      <c r="I291">
        <f>Table1[[#This Row],[Quantité corrigé]]*Table1[[#This Row],[Prix_Unitaire_HT]]</f>
        <v>38.58</v>
      </c>
    </row>
    <row r="292" spans="1:9" x14ac:dyDescent="0.25">
      <c r="A292" t="s">
        <v>417</v>
      </c>
      <c r="B292" t="s">
        <v>413</v>
      </c>
      <c r="C292" s="2" t="str">
        <f t="shared" si="7"/>
        <v>mars</v>
      </c>
      <c r="D292" t="s">
        <v>195</v>
      </c>
      <c r="E292" t="s">
        <v>1588</v>
      </c>
      <c r="F292">
        <v>10</v>
      </c>
      <c r="G292" t="s">
        <v>17</v>
      </c>
      <c r="H292">
        <v>9.17</v>
      </c>
      <c r="I292">
        <f>Table1[[#This Row],[Quantité corrigé]]*Table1[[#This Row],[Prix_Unitaire_HT]]</f>
        <v>91.7</v>
      </c>
    </row>
    <row r="293" spans="1:9" x14ac:dyDescent="0.25">
      <c r="A293" t="s">
        <v>418</v>
      </c>
      <c r="B293" t="s">
        <v>419</v>
      </c>
      <c r="C293" s="2" t="str">
        <f t="shared" si="7"/>
        <v>mars</v>
      </c>
      <c r="D293" t="s">
        <v>61</v>
      </c>
      <c r="E293" t="s">
        <v>1577</v>
      </c>
      <c r="F293">
        <v>3</v>
      </c>
      <c r="G293" t="s">
        <v>11</v>
      </c>
      <c r="H293">
        <v>14.93</v>
      </c>
      <c r="I293">
        <f>Table1[[#This Row],[Quantité corrigé]]*Table1[[#This Row],[Prix_Unitaire_HT]]</f>
        <v>44.79</v>
      </c>
    </row>
    <row r="294" spans="1:9" x14ac:dyDescent="0.25">
      <c r="A294" t="s">
        <v>420</v>
      </c>
      <c r="B294" t="s">
        <v>419</v>
      </c>
      <c r="C294" s="2" t="str">
        <f t="shared" si="7"/>
        <v>mars</v>
      </c>
      <c r="D294" t="s">
        <v>61</v>
      </c>
      <c r="E294" t="s">
        <v>1578</v>
      </c>
      <c r="F294">
        <v>6</v>
      </c>
      <c r="G294" t="s">
        <v>11</v>
      </c>
      <c r="H294">
        <v>13.21</v>
      </c>
      <c r="I294">
        <f>Table1[[#This Row],[Quantité corrigé]]*Table1[[#This Row],[Prix_Unitaire_HT]]</f>
        <v>79.260000000000005</v>
      </c>
    </row>
    <row r="295" spans="1:9" x14ac:dyDescent="0.25">
      <c r="A295" t="s">
        <v>421</v>
      </c>
      <c r="B295" t="s">
        <v>419</v>
      </c>
      <c r="C295" s="2" t="str">
        <f t="shared" si="7"/>
        <v>mars</v>
      </c>
      <c r="D295" t="s">
        <v>61</v>
      </c>
      <c r="E295" t="s">
        <v>1579</v>
      </c>
      <c r="F295">
        <v>3</v>
      </c>
      <c r="G295" t="s">
        <v>17</v>
      </c>
      <c r="H295">
        <v>1.26</v>
      </c>
      <c r="I295">
        <f>Table1[[#This Row],[Quantité corrigé]]*Table1[[#This Row],[Prix_Unitaire_HT]]</f>
        <v>3.7800000000000002</v>
      </c>
    </row>
    <row r="296" spans="1:9" x14ac:dyDescent="0.25">
      <c r="A296" t="s">
        <v>422</v>
      </c>
      <c r="B296" t="s">
        <v>423</v>
      </c>
      <c r="C296" s="2" t="str">
        <f t="shared" si="7"/>
        <v>mars</v>
      </c>
      <c r="D296" t="s">
        <v>66</v>
      </c>
      <c r="E296" t="s">
        <v>1583</v>
      </c>
      <c r="F296">
        <v>8</v>
      </c>
      <c r="G296" t="s">
        <v>17</v>
      </c>
      <c r="H296">
        <v>9.9</v>
      </c>
      <c r="I296">
        <f>Table1[[#This Row],[Quantité corrigé]]*Table1[[#This Row],[Prix_Unitaire_HT]]</f>
        <v>79.2</v>
      </c>
    </row>
    <row r="297" spans="1:9" x14ac:dyDescent="0.25">
      <c r="A297" t="s">
        <v>424</v>
      </c>
      <c r="B297" t="s">
        <v>423</v>
      </c>
      <c r="C297" s="2" t="str">
        <f t="shared" si="7"/>
        <v>mars</v>
      </c>
      <c r="D297" t="s">
        <v>66</v>
      </c>
      <c r="E297" t="s">
        <v>1584</v>
      </c>
      <c r="F297">
        <v>10</v>
      </c>
      <c r="G297" t="s">
        <v>17</v>
      </c>
      <c r="H297">
        <v>7.18</v>
      </c>
      <c r="I297">
        <f>Table1[[#This Row],[Quantité corrigé]]*Table1[[#This Row],[Prix_Unitaire_HT]]</f>
        <v>71.8</v>
      </c>
    </row>
    <row r="298" spans="1:9" x14ac:dyDescent="0.25">
      <c r="A298" t="s">
        <v>425</v>
      </c>
      <c r="B298" t="s">
        <v>423</v>
      </c>
      <c r="C298" s="2" t="str">
        <f t="shared" si="7"/>
        <v>mars</v>
      </c>
      <c r="D298" t="s">
        <v>69</v>
      </c>
      <c r="E298" t="s">
        <v>1585</v>
      </c>
      <c r="F298">
        <v>5</v>
      </c>
      <c r="G298" t="s">
        <v>39</v>
      </c>
      <c r="H298">
        <v>5.95</v>
      </c>
      <c r="I298">
        <f>Table1[[#This Row],[Quantité corrigé]]*Table1[[#This Row],[Prix_Unitaire_HT]]</f>
        <v>29.75</v>
      </c>
    </row>
    <row r="299" spans="1:9" x14ac:dyDescent="0.25">
      <c r="A299" t="s">
        <v>426</v>
      </c>
      <c r="B299" t="s">
        <v>423</v>
      </c>
      <c r="C299" s="2" t="str">
        <f t="shared" si="7"/>
        <v>mars</v>
      </c>
      <c r="D299" t="s">
        <v>69</v>
      </c>
      <c r="E299" t="s">
        <v>1586</v>
      </c>
      <c r="F299">
        <v>12</v>
      </c>
      <c r="G299" t="s">
        <v>43</v>
      </c>
      <c r="H299">
        <v>3.89</v>
      </c>
      <c r="I299">
        <f>Table1[[#This Row],[Quantité corrigé]]*Table1[[#This Row],[Prix_Unitaire_HT]]</f>
        <v>46.68</v>
      </c>
    </row>
    <row r="300" spans="1:9" x14ac:dyDescent="0.25">
      <c r="A300" t="s">
        <v>427</v>
      </c>
      <c r="B300" t="s">
        <v>428</v>
      </c>
      <c r="C300" s="2" t="str">
        <f t="shared" si="7"/>
        <v>mars</v>
      </c>
      <c r="D300" t="s">
        <v>195</v>
      </c>
      <c r="E300" t="s">
        <v>1588</v>
      </c>
      <c r="F300">
        <v>10</v>
      </c>
      <c r="G300" t="s">
        <v>17</v>
      </c>
      <c r="H300">
        <v>8.43</v>
      </c>
      <c r="I300">
        <f>Table1[[#This Row],[Quantité corrigé]]*Table1[[#This Row],[Prix_Unitaire_HT]]</f>
        <v>84.3</v>
      </c>
    </row>
    <row r="301" spans="1:9" x14ac:dyDescent="0.25">
      <c r="A301" t="s">
        <v>429</v>
      </c>
      <c r="B301" t="s">
        <v>430</v>
      </c>
      <c r="C301" s="2" t="str">
        <f t="shared" si="7"/>
        <v>avril</v>
      </c>
      <c r="D301" t="s">
        <v>61</v>
      </c>
      <c r="E301" t="s">
        <v>1577</v>
      </c>
      <c r="F301">
        <v>3</v>
      </c>
      <c r="G301" t="s">
        <v>11</v>
      </c>
      <c r="H301">
        <v>14.23</v>
      </c>
      <c r="I301">
        <f>Table1[[#This Row],[Quantité corrigé]]*Table1[[#This Row],[Prix_Unitaire_HT]]</f>
        <v>42.69</v>
      </c>
    </row>
    <row r="302" spans="1:9" x14ac:dyDescent="0.25">
      <c r="A302" t="s">
        <v>431</v>
      </c>
      <c r="B302" t="s">
        <v>430</v>
      </c>
      <c r="C302" s="2" t="str">
        <f t="shared" si="7"/>
        <v>avril</v>
      </c>
      <c r="D302" t="s">
        <v>61</v>
      </c>
      <c r="E302" t="s">
        <v>1578</v>
      </c>
      <c r="F302">
        <v>5</v>
      </c>
      <c r="G302" t="s">
        <v>11</v>
      </c>
      <c r="H302">
        <v>13.15</v>
      </c>
      <c r="I302">
        <f>Table1[[#This Row],[Quantité corrigé]]*Table1[[#This Row],[Prix_Unitaire_HT]]</f>
        <v>65.75</v>
      </c>
    </row>
    <row r="303" spans="1:9" x14ac:dyDescent="0.25">
      <c r="A303" t="s">
        <v>432</v>
      </c>
      <c r="B303" t="s">
        <v>430</v>
      </c>
      <c r="C303" s="2" t="str">
        <f t="shared" si="7"/>
        <v>avril</v>
      </c>
      <c r="D303" t="s">
        <v>61</v>
      </c>
      <c r="E303" t="s">
        <v>1579</v>
      </c>
      <c r="F303">
        <v>6</v>
      </c>
      <c r="G303" t="s">
        <v>17</v>
      </c>
      <c r="H303">
        <v>1.18</v>
      </c>
      <c r="I303">
        <f>Table1[[#This Row],[Quantité corrigé]]*Table1[[#This Row],[Prix_Unitaire_HT]]</f>
        <v>7.08</v>
      </c>
    </row>
    <row r="304" spans="1:9" x14ac:dyDescent="0.25">
      <c r="A304" t="s">
        <v>433</v>
      </c>
      <c r="B304" t="s">
        <v>430</v>
      </c>
      <c r="C304" s="2" t="str">
        <f t="shared" si="7"/>
        <v>avril</v>
      </c>
      <c r="D304" t="s">
        <v>19</v>
      </c>
      <c r="E304" t="s">
        <v>1580</v>
      </c>
      <c r="F304">
        <v>8</v>
      </c>
      <c r="G304" t="s">
        <v>21</v>
      </c>
      <c r="H304">
        <v>4.26</v>
      </c>
      <c r="I304">
        <f>Table1[[#This Row],[Quantité corrigé]]*Table1[[#This Row],[Prix_Unitaire_HT]]</f>
        <v>34.08</v>
      </c>
    </row>
    <row r="305" spans="1:9" x14ac:dyDescent="0.25">
      <c r="A305" t="s">
        <v>434</v>
      </c>
      <c r="B305" t="s">
        <v>430</v>
      </c>
      <c r="C305" s="2" t="str">
        <f t="shared" si="7"/>
        <v>avril</v>
      </c>
      <c r="D305" t="s">
        <v>19</v>
      </c>
      <c r="E305" t="s">
        <v>1581</v>
      </c>
      <c r="F305">
        <v>10</v>
      </c>
      <c r="G305" t="s">
        <v>25</v>
      </c>
      <c r="H305">
        <v>22.15</v>
      </c>
      <c r="I305">
        <f>Table1[[#This Row],[Quantité corrigé]]*Table1[[#This Row],[Prix_Unitaire_HT]]</f>
        <v>221.5</v>
      </c>
    </row>
    <row r="306" spans="1:9" x14ac:dyDescent="0.25">
      <c r="A306" t="s">
        <v>435</v>
      </c>
      <c r="B306" t="s">
        <v>430</v>
      </c>
      <c r="C306" s="2" t="str">
        <f t="shared" si="7"/>
        <v>avril</v>
      </c>
      <c r="D306" t="s">
        <v>19</v>
      </c>
      <c r="E306" t="s">
        <v>1582</v>
      </c>
      <c r="F306">
        <v>10</v>
      </c>
      <c r="G306" t="s">
        <v>29</v>
      </c>
      <c r="H306">
        <v>10.039999999999999</v>
      </c>
      <c r="I306">
        <f>Table1[[#This Row],[Quantité corrigé]]*Table1[[#This Row],[Prix_Unitaire_HT]]</f>
        <v>100.39999999999999</v>
      </c>
    </row>
    <row r="307" spans="1:9" x14ac:dyDescent="0.25">
      <c r="A307" t="s">
        <v>436</v>
      </c>
      <c r="B307" t="s">
        <v>437</v>
      </c>
      <c r="C307" s="2" t="str">
        <f t="shared" si="7"/>
        <v>avril</v>
      </c>
      <c r="D307" t="s">
        <v>66</v>
      </c>
      <c r="E307" t="s">
        <v>1583</v>
      </c>
      <c r="F307">
        <v>6</v>
      </c>
      <c r="G307" t="s">
        <v>17</v>
      </c>
      <c r="H307">
        <v>9.02</v>
      </c>
      <c r="I307">
        <f>Table1[[#This Row],[Quantité corrigé]]*Table1[[#This Row],[Prix_Unitaire_HT]]</f>
        <v>54.12</v>
      </c>
    </row>
    <row r="308" spans="1:9" x14ac:dyDescent="0.25">
      <c r="A308" t="s">
        <v>438</v>
      </c>
      <c r="B308" t="s">
        <v>437</v>
      </c>
      <c r="C308" s="2" t="str">
        <f t="shared" si="7"/>
        <v>avril</v>
      </c>
      <c r="D308" t="s">
        <v>66</v>
      </c>
      <c r="E308" t="s">
        <v>1584</v>
      </c>
      <c r="F308">
        <v>12</v>
      </c>
      <c r="G308" t="s">
        <v>17</v>
      </c>
      <c r="H308">
        <v>6.82</v>
      </c>
      <c r="I308">
        <f>Table1[[#This Row],[Quantité corrigé]]*Table1[[#This Row],[Prix_Unitaire_HT]]</f>
        <v>81.84</v>
      </c>
    </row>
    <row r="309" spans="1:9" x14ac:dyDescent="0.25">
      <c r="A309" t="s">
        <v>439</v>
      </c>
      <c r="B309" t="s">
        <v>437</v>
      </c>
      <c r="C309" s="2" t="str">
        <f t="shared" si="7"/>
        <v>avril</v>
      </c>
      <c r="D309" t="s">
        <v>69</v>
      </c>
      <c r="E309" t="s">
        <v>1585</v>
      </c>
      <c r="F309">
        <v>5</v>
      </c>
      <c r="G309" t="s">
        <v>39</v>
      </c>
      <c r="H309">
        <v>5.71</v>
      </c>
      <c r="I309">
        <f>Table1[[#This Row],[Quantité corrigé]]*Table1[[#This Row],[Prix_Unitaire_HT]]</f>
        <v>28.55</v>
      </c>
    </row>
    <row r="310" spans="1:9" x14ac:dyDescent="0.25">
      <c r="A310" t="s">
        <v>440</v>
      </c>
      <c r="B310" t="s">
        <v>437</v>
      </c>
      <c r="C310" s="2" t="str">
        <f t="shared" si="7"/>
        <v>avril</v>
      </c>
      <c r="D310" t="s">
        <v>69</v>
      </c>
      <c r="E310" t="s">
        <v>1586</v>
      </c>
      <c r="F310">
        <v>12</v>
      </c>
      <c r="G310" t="s">
        <v>43</v>
      </c>
      <c r="H310">
        <v>3.94</v>
      </c>
      <c r="I310">
        <f>Table1[[#This Row],[Quantité corrigé]]*Table1[[#This Row],[Prix_Unitaire_HT]]</f>
        <v>47.28</v>
      </c>
    </row>
    <row r="311" spans="1:9" x14ac:dyDescent="0.25">
      <c r="A311" t="s">
        <v>441</v>
      </c>
      <c r="B311" t="s">
        <v>442</v>
      </c>
      <c r="C311" s="2" t="str">
        <f t="shared" si="7"/>
        <v>avril</v>
      </c>
      <c r="D311" t="s">
        <v>19</v>
      </c>
      <c r="E311" t="s">
        <v>1580</v>
      </c>
      <c r="F311">
        <v>6</v>
      </c>
      <c r="G311" t="s">
        <v>21</v>
      </c>
      <c r="H311">
        <v>4.1100000000000003</v>
      </c>
      <c r="I311">
        <f>Table1[[#This Row],[Quantité corrigé]]*Table1[[#This Row],[Prix_Unitaire_HT]]</f>
        <v>24.660000000000004</v>
      </c>
    </row>
    <row r="312" spans="1:9" x14ac:dyDescent="0.25">
      <c r="A312" t="s">
        <v>443</v>
      </c>
      <c r="B312" t="s">
        <v>442</v>
      </c>
      <c r="C312" s="2" t="str">
        <f t="shared" si="7"/>
        <v>avril</v>
      </c>
      <c r="D312" t="s">
        <v>19</v>
      </c>
      <c r="E312" t="s">
        <v>1581</v>
      </c>
      <c r="F312">
        <v>6</v>
      </c>
      <c r="G312" t="s">
        <v>25</v>
      </c>
      <c r="H312">
        <v>22.42</v>
      </c>
      <c r="I312">
        <f>Table1[[#This Row],[Quantité corrigé]]*Table1[[#This Row],[Prix_Unitaire_HT]]</f>
        <v>134.52000000000001</v>
      </c>
    </row>
    <row r="313" spans="1:9" x14ac:dyDescent="0.25">
      <c r="A313" t="s">
        <v>444</v>
      </c>
      <c r="B313" t="s">
        <v>442</v>
      </c>
      <c r="C313" s="2" t="str">
        <f t="shared" si="7"/>
        <v>avril</v>
      </c>
      <c r="D313" t="s">
        <v>19</v>
      </c>
      <c r="E313" t="s">
        <v>1582</v>
      </c>
      <c r="F313">
        <v>6</v>
      </c>
      <c r="G313" t="s">
        <v>29</v>
      </c>
      <c r="H313">
        <v>9.76</v>
      </c>
      <c r="I313">
        <f>Table1[[#This Row],[Quantité corrigé]]*Table1[[#This Row],[Prix_Unitaire_HT]]</f>
        <v>58.56</v>
      </c>
    </row>
    <row r="314" spans="1:9" x14ac:dyDescent="0.25">
      <c r="A314" t="s">
        <v>445</v>
      </c>
      <c r="B314" t="s">
        <v>442</v>
      </c>
      <c r="C314" s="2" t="str">
        <f t="shared" si="7"/>
        <v>avril</v>
      </c>
      <c r="D314" t="s">
        <v>50</v>
      </c>
      <c r="E314" t="s">
        <v>1587</v>
      </c>
      <c r="F314">
        <v>2</v>
      </c>
      <c r="G314" t="s">
        <v>52</v>
      </c>
      <c r="H314">
        <v>18.190000000000001</v>
      </c>
      <c r="I314">
        <f>Table1[[#This Row],[Quantité corrigé]]*Table1[[#This Row],[Prix_Unitaire_HT]]</f>
        <v>36.380000000000003</v>
      </c>
    </row>
    <row r="315" spans="1:9" x14ac:dyDescent="0.25">
      <c r="A315" t="s">
        <v>446</v>
      </c>
      <c r="B315" t="s">
        <v>442</v>
      </c>
      <c r="C315" s="2" t="str">
        <f t="shared" si="7"/>
        <v>avril</v>
      </c>
      <c r="D315" t="s">
        <v>195</v>
      </c>
      <c r="E315" t="s">
        <v>1588</v>
      </c>
      <c r="F315">
        <v>10</v>
      </c>
      <c r="G315" t="s">
        <v>17</v>
      </c>
      <c r="H315">
        <v>8.6199999999999992</v>
      </c>
      <c r="I315">
        <f>Table1[[#This Row],[Quantité corrigé]]*Table1[[#This Row],[Prix_Unitaire_HT]]</f>
        <v>86.199999999999989</v>
      </c>
    </row>
    <row r="316" spans="1:9" x14ac:dyDescent="0.25">
      <c r="A316" t="s">
        <v>447</v>
      </c>
      <c r="B316" t="s">
        <v>448</v>
      </c>
      <c r="C316" s="2" t="str">
        <f t="shared" si="7"/>
        <v>avril</v>
      </c>
      <c r="D316" t="s">
        <v>61</v>
      </c>
      <c r="E316" t="s">
        <v>1577</v>
      </c>
      <c r="F316">
        <v>6</v>
      </c>
      <c r="G316" t="s">
        <v>11</v>
      </c>
      <c r="H316">
        <v>14.85</v>
      </c>
      <c r="I316">
        <f>Table1[[#This Row],[Quantité corrigé]]*Table1[[#This Row],[Prix_Unitaire_HT]]</f>
        <v>89.1</v>
      </c>
    </row>
    <row r="317" spans="1:9" x14ac:dyDescent="0.25">
      <c r="A317" t="s">
        <v>449</v>
      </c>
      <c r="B317" t="s">
        <v>448</v>
      </c>
      <c r="C317" s="2" t="str">
        <f t="shared" si="7"/>
        <v>avril</v>
      </c>
      <c r="D317" t="s">
        <v>61</v>
      </c>
      <c r="E317" t="s">
        <v>1578</v>
      </c>
      <c r="F317">
        <v>5</v>
      </c>
      <c r="G317" t="s">
        <v>11</v>
      </c>
      <c r="H317">
        <v>13.83</v>
      </c>
      <c r="I317">
        <f>Table1[[#This Row],[Quantité corrigé]]*Table1[[#This Row],[Prix_Unitaire_HT]]</f>
        <v>69.150000000000006</v>
      </c>
    </row>
    <row r="318" spans="1:9" x14ac:dyDescent="0.25">
      <c r="A318" t="s">
        <v>450</v>
      </c>
      <c r="B318" t="s">
        <v>448</v>
      </c>
      <c r="C318" s="2" t="str">
        <f t="shared" si="7"/>
        <v>avril</v>
      </c>
      <c r="D318" t="s">
        <v>61</v>
      </c>
      <c r="E318" t="s">
        <v>1579</v>
      </c>
      <c r="F318">
        <v>6</v>
      </c>
      <c r="G318" t="s">
        <v>17</v>
      </c>
      <c r="H318">
        <v>1.17</v>
      </c>
      <c r="I318">
        <f>Table1[[#This Row],[Quantité corrigé]]*Table1[[#This Row],[Prix_Unitaire_HT]]</f>
        <v>7.02</v>
      </c>
    </row>
    <row r="319" spans="1:9" x14ac:dyDescent="0.25">
      <c r="A319" t="s">
        <v>451</v>
      </c>
      <c r="B319" t="s">
        <v>452</v>
      </c>
      <c r="C319" s="2" t="str">
        <f t="shared" si="7"/>
        <v>avril</v>
      </c>
      <c r="D319" t="s">
        <v>66</v>
      </c>
      <c r="E319" t="s">
        <v>1583</v>
      </c>
      <c r="F319">
        <v>12</v>
      </c>
      <c r="G319" t="s">
        <v>17</v>
      </c>
      <c r="H319">
        <v>10.18</v>
      </c>
      <c r="I319">
        <f>Table1[[#This Row],[Quantité corrigé]]*Table1[[#This Row],[Prix_Unitaire_HT]]</f>
        <v>122.16</v>
      </c>
    </row>
    <row r="320" spans="1:9" x14ac:dyDescent="0.25">
      <c r="A320" t="s">
        <v>453</v>
      </c>
      <c r="B320" t="s">
        <v>452</v>
      </c>
      <c r="C320" s="2" t="str">
        <f t="shared" si="7"/>
        <v>avril</v>
      </c>
      <c r="D320" t="s">
        <v>66</v>
      </c>
      <c r="E320" t="s">
        <v>1584</v>
      </c>
      <c r="F320">
        <v>6</v>
      </c>
      <c r="G320" t="s">
        <v>17</v>
      </c>
      <c r="H320">
        <v>6.98</v>
      </c>
      <c r="I320">
        <f>Table1[[#This Row],[Quantité corrigé]]*Table1[[#This Row],[Prix_Unitaire_HT]]</f>
        <v>41.88</v>
      </c>
    </row>
    <row r="321" spans="1:9" x14ac:dyDescent="0.25">
      <c r="A321" t="s">
        <v>454</v>
      </c>
      <c r="B321" t="s">
        <v>452</v>
      </c>
      <c r="C321" s="2" t="str">
        <f t="shared" si="7"/>
        <v>avril</v>
      </c>
      <c r="D321" t="s">
        <v>69</v>
      </c>
      <c r="E321" t="s">
        <v>1585</v>
      </c>
      <c r="F321">
        <v>5</v>
      </c>
      <c r="G321" t="s">
        <v>39</v>
      </c>
      <c r="H321">
        <v>5.97</v>
      </c>
      <c r="I321">
        <f>Table1[[#This Row],[Quantité corrigé]]*Table1[[#This Row],[Prix_Unitaire_HT]]</f>
        <v>29.849999999999998</v>
      </c>
    </row>
    <row r="322" spans="1:9" x14ac:dyDescent="0.25">
      <c r="A322" t="s">
        <v>455</v>
      </c>
      <c r="B322" t="s">
        <v>452</v>
      </c>
      <c r="C322" s="2" t="str">
        <f t="shared" ref="C322:C385" si="8">TEXT(DATE(2024,MID(B322,4,2),_xlfn.TEXTBEFORE(B322,"/",1)),"mmmm")</f>
        <v>avril</v>
      </c>
      <c r="D322" t="s">
        <v>69</v>
      </c>
      <c r="E322" t="s">
        <v>1586</v>
      </c>
      <c r="F322">
        <v>12</v>
      </c>
      <c r="G322" t="s">
        <v>43</v>
      </c>
      <c r="H322">
        <v>3.97</v>
      </c>
      <c r="I322">
        <f>Table1[[#This Row],[Quantité corrigé]]*Table1[[#This Row],[Prix_Unitaire_HT]]</f>
        <v>47.64</v>
      </c>
    </row>
    <row r="323" spans="1:9" x14ac:dyDescent="0.25">
      <c r="A323" t="s">
        <v>456</v>
      </c>
      <c r="B323" t="s">
        <v>457</v>
      </c>
      <c r="C323" s="2" t="str">
        <f t="shared" si="8"/>
        <v>avril</v>
      </c>
      <c r="D323" t="s">
        <v>195</v>
      </c>
      <c r="E323" t="s">
        <v>1588</v>
      </c>
      <c r="F323">
        <v>6</v>
      </c>
      <c r="G323" t="s">
        <v>17</v>
      </c>
      <c r="H323">
        <v>9.01</v>
      </c>
      <c r="I323">
        <f>Table1[[#This Row],[Quantité corrigé]]*Table1[[#This Row],[Prix_Unitaire_HT]]</f>
        <v>54.06</v>
      </c>
    </row>
    <row r="324" spans="1:9" x14ac:dyDescent="0.25">
      <c r="A324" t="s">
        <v>458</v>
      </c>
      <c r="B324" t="s">
        <v>459</v>
      </c>
      <c r="C324" s="2" t="str">
        <f t="shared" si="8"/>
        <v>avril</v>
      </c>
      <c r="D324" t="s">
        <v>61</v>
      </c>
      <c r="E324" t="s">
        <v>1577</v>
      </c>
      <c r="F324">
        <v>4</v>
      </c>
      <c r="G324" t="s">
        <v>11</v>
      </c>
      <c r="H324">
        <v>15.21</v>
      </c>
      <c r="I324">
        <f>Table1[[#This Row],[Quantité corrigé]]*Table1[[#This Row],[Prix_Unitaire_HT]]</f>
        <v>60.84</v>
      </c>
    </row>
    <row r="325" spans="1:9" x14ac:dyDescent="0.25">
      <c r="A325" t="s">
        <v>460</v>
      </c>
      <c r="B325" t="s">
        <v>459</v>
      </c>
      <c r="C325" s="2" t="str">
        <f t="shared" si="8"/>
        <v>avril</v>
      </c>
      <c r="D325" t="s">
        <v>61</v>
      </c>
      <c r="E325" t="s">
        <v>1578</v>
      </c>
      <c r="F325">
        <v>3</v>
      </c>
      <c r="G325" t="s">
        <v>11</v>
      </c>
      <c r="H325">
        <v>13.4</v>
      </c>
      <c r="I325">
        <f>Table1[[#This Row],[Quantité corrigé]]*Table1[[#This Row],[Prix_Unitaire_HT]]</f>
        <v>40.200000000000003</v>
      </c>
    </row>
    <row r="326" spans="1:9" x14ac:dyDescent="0.25">
      <c r="A326" t="s">
        <v>461</v>
      </c>
      <c r="B326" t="s">
        <v>459</v>
      </c>
      <c r="C326" s="2" t="str">
        <f t="shared" si="8"/>
        <v>avril</v>
      </c>
      <c r="D326" t="s">
        <v>61</v>
      </c>
      <c r="E326" t="s">
        <v>1579</v>
      </c>
      <c r="F326">
        <v>6</v>
      </c>
      <c r="G326" t="s">
        <v>17</v>
      </c>
      <c r="H326">
        <v>1.27</v>
      </c>
      <c r="I326">
        <f>Table1[[#This Row],[Quantité corrigé]]*Table1[[#This Row],[Prix_Unitaire_HT]]</f>
        <v>7.62</v>
      </c>
    </row>
    <row r="327" spans="1:9" x14ac:dyDescent="0.25">
      <c r="A327" t="s">
        <v>462</v>
      </c>
      <c r="B327" t="s">
        <v>459</v>
      </c>
      <c r="C327" s="2" t="str">
        <f t="shared" si="8"/>
        <v>avril</v>
      </c>
      <c r="D327" t="s">
        <v>19</v>
      </c>
      <c r="E327" t="s">
        <v>1580</v>
      </c>
      <c r="F327">
        <v>8</v>
      </c>
      <c r="G327" t="s">
        <v>21</v>
      </c>
      <c r="H327">
        <v>4.1900000000000004</v>
      </c>
      <c r="I327">
        <f>Table1[[#This Row],[Quantité corrigé]]*Table1[[#This Row],[Prix_Unitaire_HT]]</f>
        <v>33.520000000000003</v>
      </c>
    </row>
    <row r="328" spans="1:9" x14ac:dyDescent="0.25">
      <c r="A328" t="s">
        <v>463</v>
      </c>
      <c r="B328" t="s">
        <v>459</v>
      </c>
      <c r="C328" s="2" t="str">
        <f t="shared" si="8"/>
        <v>avril</v>
      </c>
      <c r="D328" t="s">
        <v>19</v>
      </c>
      <c r="E328" t="s">
        <v>1581</v>
      </c>
      <c r="F328">
        <v>4</v>
      </c>
      <c r="G328" t="s">
        <v>25</v>
      </c>
      <c r="H328">
        <v>22.84</v>
      </c>
      <c r="I328">
        <f>Table1[[#This Row],[Quantité corrigé]]*Table1[[#This Row],[Prix_Unitaire_HT]]</f>
        <v>91.36</v>
      </c>
    </row>
    <row r="329" spans="1:9" x14ac:dyDescent="0.25">
      <c r="A329" t="s">
        <v>464</v>
      </c>
      <c r="B329" t="s">
        <v>459</v>
      </c>
      <c r="C329" s="2" t="str">
        <f t="shared" si="8"/>
        <v>avril</v>
      </c>
      <c r="D329" t="s">
        <v>19</v>
      </c>
      <c r="E329" t="s">
        <v>1582</v>
      </c>
      <c r="F329">
        <v>4</v>
      </c>
      <c r="G329" t="s">
        <v>29</v>
      </c>
      <c r="H329">
        <v>9.39</v>
      </c>
      <c r="I329">
        <f>Table1[[#This Row],[Quantité corrigé]]*Table1[[#This Row],[Prix_Unitaire_HT]]</f>
        <v>37.56</v>
      </c>
    </row>
    <row r="330" spans="1:9" x14ac:dyDescent="0.25">
      <c r="A330" t="s">
        <v>465</v>
      </c>
      <c r="B330" t="s">
        <v>466</v>
      </c>
      <c r="C330" s="2" t="str">
        <f t="shared" si="8"/>
        <v>avril</v>
      </c>
      <c r="D330" t="s">
        <v>66</v>
      </c>
      <c r="E330" t="s">
        <v>1583</v>
      </c>
      <c r="F330">
        <v>12</v>
      </c>
      <c r="G330" t="s">
        <v>17</v>
      </c>
      <c r="H330">
        <v>9.01</v>
      </c>
      <c r="I330">
        <f>Table1[[#This Row],[Quantité corrigé]]*Table1[[#This Row],[Prix_Unitaire_HT]]</f>
        <v>108.12</v>
      </c>
    </row>
    <row r="331" spans="1:9" x14ac:dyDescent="0.25">
      <c r="A331" t="s">
        <v>467</v>
      </c>
      <c r="B331" t="s">
        <v>466</v>
      </c>
      <c r="C331" s="2" t="str">
        <f t="shared" si="8"/>
        <v>avril</v>
      </c>
      <c r="D331" t="s">
        <v>66</v>
      </c>
      <c r="E331" t="s">
        <v>1584</v>
      </c>
      <c r="F331">
        <v>6</v>
      </c>
      <c r="G331" t="s">
        <v>17</v>
      </c>
      <c r="H331">
        <v>6.72</v>
      </c>
      <c r="I331">
        <f>Table1[[#This Row],[Quantité corrigé]]*Table1[[#This Row],[Prix_Unitaire_HT]]</f>
        <v>40.32</v>
      </c>
    </row>
    <row r="332" spans="1:9" x14ac:dyDescent="0.25">
      <c r="A332" t="s">
        <v>468</v>
      </c>
      <c r="B332" t="s">
        <v>466</v>
      </c>
      <c r="C332" s="2" t="str">
        <f t="shared" si="8"/>
        <v>avril</v>
      </c>
      <c r="D332" t="s">
        <v>69</v>
      </c>
      <c r="E332" t="s">
        <v>1585</v>
      </c>
      <c r="F332">
        <v>12</v>
      </c>
      <c r="G332" t="s">
        <v>39</v>
      </c>
      <c r="H332">
        <v>6.02</v>
      </c>
      <c r="I332">
        <f>Table1[[#This Row],[Quantité corrigé]]*Table1[[#This Row],[Prix_Unitaire_HT]]</f>
        <v>72.239999999999995</v>
      </c>
    </row>
    <row r="333" spans="1:9" x14ac:dyDescent="0.25">
      <c r="A333" t="s">
        <v>469</v>
      </c>
      <c r="B333" t="s">
        <v>466</v>
      </c>
      <c r="C333" s="2" t="str">
        <f t="shared" si="8"/>
        <v>avril</v>
      </c>
      <c r="D333" t="s">
        <v>69</v>
      </c>
      <c r="E333" t="s">
        <v>1586</v>
      </c>
      <c r="F333">
        <v>12</v>
      </c>
      <c r="G333" t="s">
        <v>43</v>
      </c>
      <c r="H333">
        <v>3.89</v>
      </c>
      <c r="I333">
        <f>Table1[[#This Row],[Quantité corrigé]]*Table1[[#This Row],[Prix_Unitaire_HT]]</f>
        <v>46.68</v>
      </c>
    </row>
    <row r="334" spans="1:9" x14ac:dyDescent="0.25">
      <c r="A334" t="s">
        <v>470</v>
      </c>
      <c r="B334" t="s">
        <v>471</v>
      </c>
      <c r="C334" s="2" t="str">
        <f t="shared" si="8"/>
        <v>avril</v>
      </c>
      <c r="D334" t="s">
        <v>19</v>
      </c>
      <c r="E334" t="s">
        <v>1580</v>
      </c>
      <c r="F334">
        <v>4</v>
      </c>
      <c r="G334" t="s">
        <v>21</v>
      </c>
      <c r="H334">
        <v>4.43</v>
      </c>
      <c r="I334">
        <f>Table1[[#This Row],[Quantité corrigé]]*Table1[[#This Row],[Prix_Unitaire_HT]]</f>
        <v>17.72</v>
      </c>
    </row>
    <row r="335" spans="1:9" x14ac:dyDescent="0.25">
      <c r="A335" t="s">
        <v>472</v>
      </c>
      <c r="B335" t="s">
        <v>471</v>
      </c>
      <c r="C335" s="2" t="str">
        <f t="shared" si="8"/>
        <v>avril</v>
      </c>
      <c r="D335" t="s">
        <v>19</v>
      </c>
      <c r="E335" t="s">
        <v>1581</v>
      </c>
      <c r="F335">
        <v>4</v>
      </c>
      <c r="G335" t="s">
        <v>25</v>
      </c>
      <c r="H335">
        <v>22.35</v>
      </c>
      <c r="I335">
        <f>Table1[[#This Row],[Quantité corrigé]]*Table1[[#This Row],[Prix_Unitaire_HT]]</f>
        <v>89.4</v>
      </c>
    </row>
    <row r="336" spans="1:9" x14ac:dyDescent="0.25">
      <c r="A336" t="s">
        <v>473</v>
      </c>
      <c r="B336" t="s">
        <v>471</v>
      </c>
      <c r="C336" s="2" t="str">
        <f t="shared" si="8"/>
        <v>avril</v>
      </c>
      <c r="D336" t="s">
        <v>19</v>
      </c>
      <c r="E336" t="s">
        <v>1582</v>
      </c>
      <c r="F336">
        <v>8</v>
      </c>
      <c r="G336" t="s">
        <v>29</v>
      </c>
      <c r="H336">
        <v>10.52</v>
      </c>
      <c r="I336">
        <f>Table1[[#This Row],[Quantité corrigé]]*Table1[[#This Row],[Prix_Unitaire_HT]]</f>
        <v>84.16</v>
      </c>
    </row>
    <row r="337" spans="1:9" x14ac:dyDescent="0.25">
      <c r="A337" t="s">
        <v>474</v>
      </c>
      <c r="B337" t="s">
        <v>471</v>
      </c>
      <c r="C337" s="2" t="str">
        <f t="shared" si="8"/>
        <v>avril</v>
      </c>
      <c r="D337" t="s">
        <v>50</v>
      </c>
      <c r="E337" t="s">
        <v>1587</v>
      </c>
      <c r="F337">
        <v>2</v>
      </c>
      <c r="G337" t="s">
        <v>52</v>
      </c>
      <c r="H337">
        <v>18.079999999999998</v>
      </c>
      <c r="I337">
        <f>Table1[[#This Row],[Quantité corrigé]]*Table1[[#This Row],[Prix_Unitaire_HT]]</f>
        <v>36.159999999999997</v>
      </c>
    </row>
    <row r="338" spans="1:9" x14ac:dyDescent="0.25">
      <c r="A338" t="s">
        <v>475</v>
      </c>
      <c r="B338" t="s">
        <v>471</v>
      </c>
      <c r="C338" s="2" t="str">
        <f t="shared" si="8"/>
        <v>avril</v>
      </c>
      <c r="D338" t="s">
        <v>195</v>
      </c>
      <c r="E338" t="s">
        <v>1588</v>
      </c>
      <c r="F338">
        <v>4</v>
      </c>
      <c r="G338" t="s">
        <v>17</v>
      </c>
      <c r="H338">
        <v>9.57</v>
      </c>
      <c r="I338">
        <f>Table1[[#This Row],[Quantité corrigé]]*Table1[[#This Row],[Prix_Unitaire_HT]]</f>
        <v>38.28</v>
      </c>
    </row>
    <row r="339" spans="1:9" x14ac:dyDescent="0.25">
      <c r="A339" t="s">
        <v>476</v>
      </c>
      <c r="B339" t="s">
        <v>477</v>
      </c>
      <c r="C339" s="2" t="str">
        <f t="shared" si="8"/>
        <v>avril</v>
      </c>
      <c r="D339" t="s">
        <v>61</v>
      </c>
      <c r="E339" t="s">
        <v>1577</v>
      </c>
      <c r="F339">
        <v>3</v>
      </c>
      <c r="G339" t="s">
        <v>11</v>
      </c>
      <c r="H339">
        <v>14.83</v>
      </c>
      <c r="I339">
        <f>Table1[[#This Row],[Quantité corrigé]]*Table1[[#This Row],[Prix_Unitaire_HT]]</f>
        <v>44.49</v>
      </c>
    </row>
    <row r="340" spans="1:9" x14ac:dyDescent="0.25">
      <c r="A340" t="s">
        <v>478</v>
      </c>
      <c r="B340" t="s">
        <v>477</v>
      </c>
      <c r="C340" s="2" t="str">
        <f t="shared" si="8"/>
        <v>avril</v>
      </c>
      <c r="D340" t="s">
        <v>61</v>
      </c>
      <c r="E340" t="s">
        <v>1578</v>
      </c>
      <c r="F340">
        <v>4</v>
      </c>
      <c r="G340" t="s">
        <v>11</v>
      </c>
      <c r="H340">
        <v>13.51</v>
      </c>
      <c r="I340">
        <f>Table1[[#This Row],[Quantité corrigé]]*Table1[[#This Row],[Prix_Unitaire_HT]]</f>
        <v>54.04</v>
      </c>
    </row>
    <row r="341" spans="1:9" x14ac:dyDescent="0.25">
      <c r="A341" t="s">
        <v>479</v>
      </c>
      <c r="B341" t="s">
        <v>477</v>
      </c>
      <c r="C341" s="2" t="str">
        <f t="shared" si="8"/>
        <v>avril</v>
      </c>
      <c r="D341" t="s">
        <v>61</v>
      </c>
      <c r="E341" t="s">
        <v>1579</v>
      </c>
      <c r="F341">
        <v>4</v>
      </c>
      <c r="G341" t="s">
        <v>17</v>
      </c>
      <c r="H341">
        <v>1.24</v>
      </c>
      <c r="I341">
        <f>Table1[[#This Row],[Quantité corrigé]]*Table1[[#This Row],[Prix_Unitaire_HT]]</f>
        <v>4.96</v>
      </c>
    </row>
    <row r="342" spans="1:9" x14ac:dyDescent="0.25">
      <c r="A342" t="s">
        <v>480</v>
      </c>
      <c r="B342" t="s">
        <v>481</v>
      </c>
      <c r="C342" s="2" t="str">
        <f t="shared" si="8"/>
        <v>avril</v>
      </c>
      <c r="D342" t="s">
        <v>66</v>
      </c>
      <c r="E342" t="s">
        <v>1583</v>
      </c>
      <c r="F342">
        <v>6</v>
      </c>
      <c r="G342" t="s">
        <v>17</v>
      </c>
      <c r="H342">
        <v>9.9</v>
      </c>
      <c r="I342">
        <f>Table1[[#This Row],[Quantité corrigé]]*Table1[[#This Row],[Prix_Unitaire_HT]]</f>
        <v>59.400000000000006</v>
      </c>
    </row>
    <row r="343" spans="1:9" x14ac:dyDescent="0.25">
      <c r="A343" t="s">
        <v>482</v>
      </c>
      <c r="B343" t="s">
        <v>481</v>
      </c>
      <c r="C343" s="2" t="str">
        <f t="shared" si="8"/>
        <v>avril</v>
      </c>
      <c r="D343" t="s">
        <v>66</v>
      </c>
      <c r="E343" t="s">
        <v>1584</v>
      </c>
      <c r="F343">
        <v>10</v>
      </c>
      <c r="G343" t="s">
        <v>17</v>
      </c>
      <c r="H343">
        <v>7.49</v>
      </c>
      <c r="I343">
        <f>Table1[[#This Row],[Quantité corrigé]]*Table1[[#This Row],[Prix_Unitaire_HT]]</f>
        <v>74.900000000000006</v>
      </c>
    </row>
    <row r="344" spans="1:9" x14ac:dyDescent="0.25">
      <c r="A344" t="s">
        <v>483</v>
      </c>
      <c r="B344" t="s">
        <v>481</v>
      </c>
      <c r="C344" s="2" t="str">
        <f t="shared" si="8"/>
        <v>avril</v>
      </c>
      <c r="D344" t="s">
        <v>69</v>
      </c>
      <c r="E344" t="s">
        <v>1585</v>
      </c>
      <c r="F344">
        <v>12</v>
      </c>
      <c r="G344" t="s">
        <v>39</v>
      </c>
      <c r="H344">
        <v>5.79</v>
      </c>
      <c r="I344">
        <f>Table1[[#This Row],[Quantité corrigé]]*Table1[[#This Row],[Prix_Unitaire_HT]]</f>
        <v>69.48</v>
      </c>
    </row>
    <row r="345" spans="1:9" x14ac:dyDescent="0.25">
      <c r="A345" t="s">
        <v>484</v>
      </c>
      <c r="B345" t="s">
        <v>481</v>
      </c>
      <c r="C345" s="2" t="str">
        <f t="shared" si="8"/>
        <v>avril</v>
      </c>
      <c r="D345" t="s">
        <v>69</v>
      </c>
      <c r="E345" t="s">
        <v>1586</v>
      </c>
      <c r="F345">
        <v>12</v>
      </c>
      <c r="G345" t="s">
        <v>43</v>
      </c>
      <c r="H345">
        <v>3.91</v>
      </c>
      <c r="I345">
        <f>Table1[[#This Row],[Quantité corrigé]]*Table1[[#This Row],[Prix_Unitaire_HT]]</f>
        <v>46.92</v>
      </c>
    </row>
    <row r="346" spans="1:9" x14ac:dyDescent="0.25">
      <c r="A346" t="s">
        <v>485</v>
      </c>
      <c r="B346" t="s">
        <v>486</v>
      </c>
      <c r="C346" s="2" t="str">
        <f t="shared" si="8"/>
        <v>avril</v>
      </c>
      <c r="D346" t="s">
        <v>195</v>
      </c>
      <c r="E346" t="s">
        <v>1588</v>
      </c>
      <c r="F346">
        <v>10</v>
      </c>
      <c r="G346" t="s">
        <v>17</v>
      </c>
      <c r="H346">
        <v>9.4700000000000006</v>
      </c>
      <c r="I346">
        <f>Table1[[#This Row],[Quantité corrigé]]*Table1[[#This Row],[Prix_Unitaire_HT]]</f>
        <v>94.7</v>
      </c>
    </row>
    <row r="347" spans="1:9" x14ac:dyDescent="0.25">
      <c r="A347" t="s">
        <v>487</v>
      </c>
      <c r="B347" t="s">
        <v>488</v>
      </c>
      <c r="C347" s="2" t="str">
        <f t="shared" si="8"/>
        <v>avril</v>
      </c>
      <c r="D347" t="s">
        <v>61</v>
      </c>
      <c r="E347" t="s">
        <v>1577</v>
      </c>
      <c r="F347">
        <v>4</v>
      </c>
      <c r="G347" t="s">
        <v>11</v>
      </c>
      <c r="H347">
        <v>15.1</v>
      </c>
      <c r="I347">
        <f>Table1[[#This Row],[Quantité corrigé]]*Table1[[#This Row],[Prix_Unitaire_HT]]</f>
        <v>60.4</v>
      </c>
    </row>
    <row r="348" spans="1:9" x14ac:dyDescent="0.25">
      <c r="A348" t="s">
        <v>489</v>
      </c>
      <c r="B348" t="s">
        <v>488</v>
      </c>
      <c r="C348" s="2" t="str">
        <f t="shared" si="8"/>
        <v>avril</v>
      </c>
      <c r="D348" t="s">
        <v>61</v>
      </c>
      <c r="E348" t="s">
        <v>1578</v>
      </c>
      <c r="F348">
        <v>5</v>
      </c>
      <c r="G348" t="s">
        <v>11</v>
      </c>
      <c r="H348">
        <v>13.46</v>
      </c>
      <c r="I348">
        <f>Table1[[#This Row],[Quantité corrigé]]*Table1[[#This Row],[Prix_Unitaire_HT]]</f>
        <v>67.300000000000011</v>
      </c>
    </row>
    <row r="349" spans="1:9" x14ac:dyDescent="0.25">
      <c r="A349" t="s">
        <v>490</v>
      </c>
      <c r="B349" t="s">
        <v>488</v>
      </c>
      <c r="C349" s="2" t="str">
        <f t="shared" si="8"/>
        <v>avril</v>
      </c>
      <c r="D349" t="s">
        <v>61</v>
      </c>
      <c r="E349" t="s">
        <v>1579</v>
      </c>
      <c r="F349">
        <v>3</v>
      </c>
      <c r="G349" t="s">
        <v>17</v>
      </c>
      <c r="H349">
        <v>1.19</v>
      </c>
      <c r="I349">
        <f>Table1[[#This Row],[Quantité corrigé]]*Table1[[#This Row],[Prix_Unitaire_HT]]</f>
        <v>3.57</v>
      </c>
    </row>
    <row r="350" spans="1:9" x14ac:dyDescent="0.25">
      <c r="A350" t="s">
        <v>491</v>
      </c>
      <c r="B350" t="s">
        <v>488</v>
      </c>
      <c r="C350" s="2" t="str">
        <f t="shared" si="8"/>
        <v>avril</v>
      </c>
      <c r="D350" t="s">
        <v>19</v>
      </c>
      <c r="E350" t="s">
        <v>1580</v>
      </c>
      <c r="F350">
        <v>6</v>
      </c>
      <c r="G350" t="s">
        <v>21</v>
      </c>
      <c r="H350">
        <v>4.24</v>
      </c>
      <c r="I350">
        <f>Table1[[#This Row],[Quantité corrigé]]*Table1[[#This Row],[Prix_Unitaire_HT]]</f>
        <v>25.44</v>
      </c>
    </row>
    <row r="351" spans="1:9" x14ac:dyDescent="0.25">
      <c r="A351" t="s">
        <v>492</v>
      </c>
      <c r="B351" t="s">
        <v>488</v>
      </c>
      <c r="C351" s="2" t="str">
        <f t="shared" si="8"/>
        <v>avril</v>
      </c>
      <c r="D351" t="s">
        <v>19</v>
      </c>
      <c r="E351" t="s">
        <v>1581</v>
      </c>
      <c r="F351">
        <v>6</v>
      </c>
      <c r="G351" t="s">
        <v>25</v>
      </c>
      <c r="H351">
        <v>23.61</v>
      </c>
      <c r="I351">
        <f>Table1[[#This Row],[Quantité corrigé]]*Table1[[#This Row],[Prix_Unitaire_HT]]</f>
        <v>141.66</v>
      </c>
    </row>
    <row r="352" spans="1:9" x14ac:dyDescent="0.25">
      <c r="A352" t="s">
        <v>493</v>
      </c>
      <c r="B352" t="s">
        <v>488</v>
      </c>
      <c r="C352" s="2" t="str">
        <f t="shared" si="8"/>
        <v>avril</v>
      </c>
      <c r="D352" t="s">
        <v>19</v>
      </c>
      <c r="E352" t="s">
        <v>1582</v>
      </c>
      <c r="F352">
        <v>10</v>
      </c>
      <c r="G352" t="s">
        <v>29</v>
      </c>
      <c r="H352">
        <v>10.5</v>
      </c>
      <c r="I352">
        <f>Table1[[#This Row],[Quantité corrigé]]*Table1[[#This Row],[Prix_Unitaire_HT]]</f>
        <v>105</v>
      </c>
    </row>
    <row r="353" spans="1:9" x14ac:dyDescent="0.25">
      <c r="A353" t="s">
        <v>494</v>
      </c>
      <c r="B353" t="s">
        <v>495</v>
      </c>
      <c r="C353" s="2" t="str">
        <f t="shared" si="8"/>
        <v>avril</v>
      </c>
      <c r="D353" t="s">
        <v>66</v>
      </c>
      <c r="E353" t="s">
        <v>1583</v>
      </c>
      <c r="F353">
        <v>5</v>
      </c>
      <c r="G353" t="s">
        <v>17</v>
      </c>
      <c r="H353">
        <v>8.9</v>
      </c>
      <c r="I353">
        <f>Table1[[#This Row],[Quantité corrigé]]*Table1[[#This Row],[Prix_Unitaire_HT]]</f>
        <v>44.5</v>
      </c>
    </row>
    <row r="354" spans="1:9" x14ac:dyDescent="0.25">
      <c r="A354" t="s">
        <v>496</v>
      </c>
      <c r="B354" t="s">
        <v>495</v>
      </c>
      <c r="C354" s="2" t="str">
        <f t="shared" si="8"/>
        <v>avril</v>
      </c>
      <c r="D354" t="s">
        <v>66</v>
      </c>
      <c r="E354" t="s">
        <v>1584</v>
      </c>
      <c r="F354">
        <v>5</v>
      </c>
      <c r="G354" t="s">
        <v>17</v>
      </c>
      <c r="H354">
        <v>6.99</v>
      </c>
      <c r="I354">
        <f>Table1[[#This Row],[Quantité corrigé]]*Table1[[#This Row],[Prix_Unitaire_HT]]</f>
        <v>34.950000000000003</v>
      </c>
    </row>
    <row r="355" spans="1:9" x14ac:dyDescent="0.25">
      <c r="A355" t="s">
        <v>497</v>
      </c>
      <c r="B355" t="s">
        <v>495</v>
      </c>
      <c r="C355" s="2" t="str">
        <f t="shared" si="8"/>
        <v>avril</v>
      </c>
      <c r="D355" t="s">
        <v>69</v>
      </c>
      <c r="E355" t="s">
        <v>1585</v>
      </c>
      <c r="F355">
        <v>8</v>
      </c>
      <c r="G355" t="s">
        <v>39</v>
      </c>
      <c r="H355">
        <v>5.96</v>
      </c>
      <c r="I355">
        <f>Table1[[#This Row],[Quantité corrigé]]*Table1[[#This Row],[Prix_Unitaire_HT]]</f>
        <v>47.68</v>
      </c>
    </row>
    <row r="356" spans="1:9" x14ac:dyDescent="0.25">
      <c r="A356" t="s">
        <v>498</v>
      </c>
      <c r="B356" t="s">
        <v>495</v>
      </c>
      <c r="C356" s="2" t="str">
        <f t="shared" si="8"/>
        <v>avril</v>
      </c>
      <c r="D356" t="s">
        <v>69</v>
      </c>
      <c r="E356" t="s">
        <v>1586</v>
      </c>
      <c r="F356">
        <v>8</v>
      </c>
      <c r="G356" t="s">
        <v>43</v>
      </c>
      <c r="H356">
        <v>3.98</v>
      </c>
      <c r="I356">
        <f>Table1[[#This Row],[Quantité corrigé]]*Table1[[#This Row],[Prix_Unitaire_HT]]</f>
        <v>31.84</v>
      </c>
    </row>
    <row r="357" spans="1:9" x14ac:dyDescent="0.25">
      <c r="A357" t="s">
        <v>499</v>
      </c>
      <c r="B357" t="s">
        <v>500</v>
      </c>
      <c r="C357" s="2" t="str">
        <f t="shared" si="8"/>
        <v>avril</v>
      </c>
      <c r="D357" t="s">
        <v>19</v>
      </c>
      <c r="E357" t="s">
        <v>1580</v>
      </c>
      <c r="F357">
        <v>4</v>
      </c>
      <c r="G357" t="s">
        <v>21</v>
      </c>
      <c r="H357">
        <v>4.2300000000000004</v>
      </c>
      <c r="I357">
        <f>Table1[[#This Row],[Quantité corrigé]]*Table1[[#This Row],[Prix_Unitaire_HT]]</f>
        <v>16.920000000000002</v>
      </c>
    </row>
    <row r="358" spans="1:9" x14ac:dyDescent="0.25">
      <c r="A358" t="s">
        <v>501</v>
      </c>
      <c r="B358" t="s">
        <v>500</v>
      </c>
      <c r="C358" s="2" t="str">
        <f t="shared" si="8"/>
        <v>avril</v>
      </c>
      <c r="D358" t="s">
        <v>19</v>
      </c>
      <c r="E358" t="s">
        <v>1581</v>
      </c>
      <c r="F358">
        <v>6</v>
      </c>
      <c r="G358" t="s">
        <v>25</v>
      </c>
      <c r="H358">
        <v>21.63</v>
      </c>
      <c r="I358">
        <f>Table1[[#This Row],[Quantité corrigé]]*Table1[[#This Row],[Prix_Unitaire_HT]]</f>
        <v>129.78</v>
      </c>
    </row>
    <row r="359" spans="1:9" x14ac:dyDescent="0.25">
      <c r="A359" t="s">
        <v>502</v>
      </c>
      <c r="B359" t="s">
        <v>500</v>
      </c>
      <c r="C359" s="2" t="str">
        <f t="shared" si="8"/>
        <v>avril</v>
      </c>
      <c r="D359" t="s">
        <v>19</v>
      </c>
      <c r="E359" t="s">
        <v>1582</v>
      </c>
      <c r="F359">
        <v>8</v>
      </c>
      <c r="G359" t="s">
        <v>29</v>
      </c>
      <c r="H359">
        <v>9.4499999999999993</v>
      </c>
      <c r="I359">
        <f>Table1[[#This Row],[Quantité corrigé]]*Table1[[#This Row],[Prix_Unitaire_HT]]</f>
        <v>75.599999999999994</v>
      </c>
    </row>
    <row r="360" spans="1:9" x14ac:dyDescent="0.25">
      <c r="A360" t="s">
        <v>503</v>
      </c>
      <c r="B360" t="s">
        <v>500</v>
      </c>
      <c r="C360" s="2" t="str">
        <f t="shared" si="8"/>
        <v>avril</v>
      </c>
      <c r="D360" t="s">
        <v>50</v>
      </c>
      <c r="E360" t="s">
        <v>1587</v>
      </c>
      <c r="F360">
        <v>3</v>
      </c>
      <c r="G360" t="s">
        <v>52</v>
      </c>
      <c r="H360">
        <v>17.84</v>
      </c>
      <c r="I360">
        <f>Table1[[#This Row],[Quantité corrigé]]*Table1[[#This Row],[Prix_Unitaire_HT]]</f>
        <v>53.519999999999996</v>
      </c>
    </row>
    <row r="361" spans="1:9" x14ac:dyDescent="0.25">
      <c r="A361" t="s">
        <v>504</v>
      </c>
      <c r="B361" t="s">
        <v>500</v>
      </c>
      <c r="C361" s="2" t="str">
        <f t="shared" si="8"/>
        <v>avril</v>
      </c>
      <c r="D361" t="s">
        <v>195</v>
      </c>
      <c r="E361" t="s">
        <v>1588</v>
      </c>
      <c r="F361">
        <v>10</v>
      </c>
      <c r="G361" t="s">
        <v>17</v>
      </c>
      <c r="H361">
        <v>8.4600000000000009</v>
      </c>
      <c r="I361">
        <f>Table1[[#This Row],[Quantité corrigé]]*Table1[[#This Row],[Prix_Unitaire_HT]]</f>
        <v>84.600000000000009</v>
      </c>
    </row>
    <row r="362" spans="1:9" x14ac:dyDescent="0.25">
      <c r="A362" t="s">
        <v>505</v>
      </c>
      <c r="B362" t="s">
        <v>506</v>
      </c>
      <c r="C362" s="2" t="str">
        <f t="shared" si="8"/>
        <v>avril</v>
      </c>
      <c r="D362" t="s">
        <v>61</v>
      </c>
      <c r="E362" t="s">
        <v>1577</v>
      </c>
      <c r="F362">
        <v>4</v>
      </c>
      <c r="G362" t="s">
        <v>11</v>
      </c>
      <c r="H362">
        <v>14.9</v>
      </c>
      <c r="I362">
        <f>Table1[[#This Row],[Quantité corrigé]]*Table1[[#This Row],[Prix_Unitaire_HT]]</f>
        <v>59.6</v>
      </c>
    </row>
    <row r="363" spans="1:9" x14ac:dyDescent="0.25">
      <c r="A363" t="s">
        <v>507</v>
      </c>
      <c r="B363" t="s">
        <v>506</v>
      </c>
      <c r="C363" s="2" t="str">
        <f t="shared" si="8"/>
        <v>avril</v>
      </c>
      <c r="D363" t="s">
        <v>61</v>
      </c>
      <c r="E363" t="s">
        <v>1578</v>
      </c>
      <c r="F363">
        <v>5</v>
      </c>
      <c r="G363" t="s">
        <v>11</v>
      </c>
      <c r="H363">
        <v>13.09</v>
      </c>
      <c r="I363">
        <f>Table1[[#This Row],[Quantité corrigé]]*Table1[[#This Row],[Prix_Unitaire_HT]]</f>
        <v>65.45</v>
      </c>
    </row>
    <row r="364" spans="1:9" x14ac:dyDescent="0.25">
      <c r="A364" t="s">
        <v>508</v>
      </c>
      <c r="B364" t="s">
        <v>506</v>
      </c>
      <c r="C364" s="2" t="str">
        <f t="shared" si="8"/>
        <v>avril</v>
      </c>
      <c r="D364" t="s">
        <v>61</v>
      </c>
      <c r="E364" t="s">
        <v>1579</v>
      </c>
      <c r="F364">
        <v>5</v>
      </c>
      <c r="G364" t="s">
        <v>17</v>
      </c>
      <c r="H364">
        <v>1.17</v>
      </c>
      <c r="I364">
        <f>Table1[[#This Row],[Quantité corrigé]]*Table1[[#This Row],[Prix_Unitaire_HT]]</f>
        <v>5.85</v>
      </c>
    </row>
    <row r="365" spans="1:9" x14ac:dyDescent="0.25">
      <c r="A365" t="s">
        <v>509</v>
      </c>
      <c r="B365" t="s">
        <v>510</v>
      </c>
      <c r="C365" s="2" t="str">
        <f t="shared" si="8"/>
        <v>avril</v>
      </c>
      <c r="D365" t="s">
        <v>66</v>
      </c>
      <c r="E365" t="s">
        <v>1583</v>
      </c>
      <c r="F365">
        <v>10</v>
      </c>
      <c r="G365" t="s">
        <v>17</v>
      </c>
      <c r="H365">
        <v>9.25</v>
      </c>
      <c r="I365">
        <f>Table1[[#This Row],[Quantité corrigé]]*Table1[[#This Row],[Prix_Unitaire_HT]]</f>
        <v>92.5</v>
      </c>
    </row>
    <row r="366" spans="1:9" x14ac:dyDescent="0.25">
      <c r="A366" t="s">
        <v>511</v>
      </c>
      <c r="B366" t="s">
        <v>510</v>
      </c>
      <c r="C366" s="2" t="str">
        <f t="shared" si="8"/>
        <v>avril</v>
      </c>
      <c r="D366" t="s">
        <v>66</v>
      </c>
      <c r="E366" t="s">
        <v>1584</v>
      </c>
      <c r="F366">
        <v>8</v>
      </c>
      <c r="G366" t="s">
        <v>17</v>
      </c>
      <c r="H366">
        <v>7.75</v>
      </c>
      <c r="I366">
        <f>Table1[[#This Row],[Quantité corrigé]]*Table1[[#This Row],[Prix_Unitaire_HT]]</f>
        <v>62</v>
      </c>
    </row>
    <row r="367" spans="1:9" x14ac:dyDescent="0.25">
      <c r="A367" t="s">
        <v>512</v>
      </c>
      <c r="B367" t="s">
        <v>510</v>
      </c>
      <c r="C367" s="2" t="str">
        <f t="shared" si="8"/>
        <v>avril</v>
      </c>
      <c r="D367" t="s">
        <v>69</v>
      </c>
      <c r="E367" t="s">
        <v>1585</v>
      </c>
      <c r="F367">
        <v>10</v>
      </c>
      <c r="G367" t="s">
        <v>39</v>
      </c>
      <c r="H367">
        <v>5.96</v>
      </c>
      <c r="I367">
        <f>Table1[[#This Row],[Quantité corrigé]]*Table1[[#This Row],[Prix_Unitaire_HT]]</f>
        <v>59.6</v>
      </c>
    </row>
    <row r="368" spans="1:9" x14ac:dyDescent="0.25">
      <c r="A368" t="s">
        <v>513</v>
      </c>
      <c r="B368" t="s">
        <v>510</v>
      </c>
      <c r="C368" s="2" t="str">
        <f t="shared" si="8"/>
        <v>avril</v>
      </c>
      <c r="D368" t="s">
        <v>69</v>
      </c>
      <c r="E368" t="s">
        <v>1586</v>
      </c>
      <c r="F368">
        <v>10</v>
      </c>
      <c r="G368" t="s">
        <v>43</v>
      </c>
      <c r="H368">
        <v>4</v>
      </c>
      <c r="I368">
        <f>Table1[[#This Row],[Quantité corrigé]]*Table1[[#This Row],[Prix_Unitaire_HT]]</f>
        <v>40</v>
      </c>
    </row>
    <row r="369" spans="1:9" x14ac:dyDescent="0.25">
      <c r="A369" t="s">
        <v>514</v>
      </c>
      <c r="B369" t="s">
        <v>515</v>
      </c>
      <c r="C369" s="2" t="str">
        <f t="shared" si="8"/>
        <v>avril</v>
      </c>
      <c r="D369" t="s">
        <v>195</v>
      </c>
      <c r="E369" t="s">
        <v>1588</v>
      </c>
      <c r="F369">
        <v>6</v>
      </c>
      <c r="G369" t="s">
        <v>17</v>
      </c>
      <c r="H369">
        <v>9.14</v>
      </c>
      <c r="I369">
        <f>Table1[[#This Row],[Quantité corrigé]]*Table1[[#This Row],[Prix_Unitaire_HT]]</f>
        <v>54.84</v>
      </c>
    </row>
    <row r="370" spans="1:9" x14ac:dyDescent="0.25">
      <c r="A370" t="s">
        <v>516</v>
      </c>
      <c r="B370" t="s">
        <v>517</v>
      </c>
      <c r="C370" s="2" t="str">
        <f t="shared" si="8"/>
        <v>avril</v>
      </c>
      <c r="D370" t="s">
        <v>61</v>
      </c>
      <c r="E370" t="s">
        <v>1577</v>
      </c>
      <c r="F370">
        <v>6</v>
      </c>
      <c r="G370" t="s">
        <v>11</v>
      </c>
      <c r="H370">
        <v>14.79</v>
      </c>
      <c r="I370">
        <f>Table1[[#This Row],[Quantité corrigé]]*Table1[[#This Row],[Prix_Unitaire_HT]]</f>
        <v>88.74</v>
      </c>
    </row>
    <row r="371" spans="1:9" x14ac:dyDescent="0.25">
      <c r="A371" t="s">
        <v>518</v>
      </c>
      <c r="B371" t="s">
        <v>517</v>
      </c>
      <c r="C371" s="2" t="str">
        <f t="shared" si="8"/>
        <v>avril</v>
      </c>
      <c r="D371" t="s">
        <v>61</v>
      </c>
      <c r="E371" t="s">
        <v>1578</v>
      </c>
      <c r="F371">
        <v>6</v>
      </c>
      <c r="G371" t="s">
        <v>11</v>
      </c>
      <c r="H371">
        <v>12.85</v>
      </c>
      <c r="I371">
        <f>Table1[[#This Row],[Quantité corrigé]]*Table1[[#This Row],[Prix_Unitaire_HT]]</f>
        <v>77.099999999999994</v>
      </c>
    </row>
    <row r="372" spans="1:9" x14ac:dyDescent="0.25">
      <c r="A372" t="s">
        <v>519</v>
      </c>
      <c r="B372" t="s">
        <v>517</v>
      </c>
      <c r="C372" s="2" t="str">
        <f t="shared" si="8"/>
        <v>avril</v>
      </c>
      <c r="D372" t="s">
        <v>61</v>
      </c>
      <c r="E372" t="s">
        <v>1579</v>
      </c>
      <c r="F372">
        <v>3</v>
      </c>
      <c r="G372" t="s">
        <v>17</v>
      </c>
      <c r="H372">
        <v>1.2</v>
      </c>
      <c r="I372">
        <f>Table1[[#This Row],[Quantité corrigé]]*Table1[[#This Row],[Prix_Unitaire_HT]]</f>
        <v>3.5999999999999996</v>
      </c>
    </row>
    <row r="373" spans="1:9" x14ac:dyDescent="0.25">
      <c r="A373" t="s">
        <v>520</v>
      </c>
      <c r="B373" t="s">
        <v>517</v>
      </c>
      <c r="C373" s="2" t="str">
        <f t="shared" si="8"/>
        <v>avril</v>
      </c>
      <c r="D373" t="s">
        <v>19</v>
      </c>
      <c r="E373" t="s">
        <v>1580</v>
      </c>
      <c r="F373">
        <v>10</v>
      </c>
      <c r="G373" t="s">
        <v>21</v>
      </c>
      <c r="H373">
        <v>4.53</v>
      </c>
      <c r="I373">
        <f>Table1[[#This Row],[Quantité corrigé]]*Table1[[#This Row],[Prix_Unitaire_HT]]</f>
        <v>45.300000000000004</v>
      </c>
    </row>
    <row r="374" spans="1:9" x14ac:dyDescent="0.25">
      <c r="A374" t="s">
        <v>521</v>
      </c>
      <c r="B374" t="s">
        <v>517</v>
      </c>
      <c r="C374" s="2" t="str">
        <f t="shared" si="8"/>
        <v>avril</v>
      </c>
      <c r="D374" t="s">
        <v>19</v>
      </c>
      <c r="E374" t="s">
        <v>1581</v>
      </c>
      <c r="F374">
        <v>4</v>
      </c>
      <c r="G374" t="s">
        <v>25</v>
      </c>
      <c r="H374">
        <v>21.72</v>
      </c>
      <c r="I374">
        <f>Table1[[#This Row],[Quantité corrigé]]*Table1[[#This Row],[Prix_Unitaire_HT]]</f>
        <v>86.88</v>
      </c>
    </row>
    <row r="375" spans="1:9" x14ac:dyDescent="0.25">
      <c r="A375" t="s">
        <v>522</v>
      </c>
      <c r="B375" t="s">
        <v>517</v>
      </c>
      <c r="C375" s="2" t="str">
        <f t="shared" si="8"/>
        <v>avril</v>
      </c>
      <c r="D375" t="s">
        <v>19</v>
      </c>
      <c r="E375" t="s">
        <v>1582</v>
      </c>
      <c r="F375">
        <v>8</v>
      </c>
      <c r="G375" t="s">
        <v>29</v>
      </c>
      <c r="H375">
        <v>9.66</v>
      </c>
      <c r="I375">
        <f>Table1[[#This Row],[Quantité corrigé]]*Table1[[#This Row],[Prix_Unitaire_HT]]</f>
        <v>77.28</v>
      </c>
    </row>
    <row r="376" spans="1:9" x14ac:dyDescent="0.25">
      <c r="A376" t="s">
        <v>523</v>
      </c>
      <c r="B376" t="s">
        <v>524</v>
      </c>
      <c r="C376" s="2" t="str">
        <f t="shared" si="8"/>
        <v>avril</v>
      </c>
      <c r="D376" t="s">
        <v>66</v>
      </c>
      <c r="E376" t="s">
        <v>1583</v>
      </c>
      <c r="F376">
        <v>10</v>
      </c>
      <c r="G376" t="s">
        <v>17</v>
      </c>
      <c r="H376">
        <v>10.050000000000001</v>
      </c>
      <c r="I376">
        <f>Table1[[#This Row],[Quantité corrigé]]*Table1[[#This Row],[Prix_Unitaire_HT]]</f>
        <v>100.5</v>
      </c>
    </row>
    <row r="377" spans="1:9" x14ac:dyDescent="0.25">
      <c r="A377" t="s">
        <v>525</v>
      </c>
      <c r="B377" t="s">
        <v>524</v>
      </c>
      <c r="C377" s="2" t="str">
        <f t="shared" si="8"/>
        <v>avril</v>
      </c>
      <c r="D377" t="s">
        <v>66</v>
      </c>
      <c r="E377" t="s">
        <v>1584</v>
      </c>
      <c r="F377">
        <v>10</v>
      </c>
      <c r="G377" t="s">
        <v>17</v>
      </c>
      <c r="H377">
        <v>7.2</v>
      </c>
      <c r="I377">
        <f>Table1[[#This Row],[Quantité corrigé]]*Table1[[#This Row],[Prix_Unitaire_HT]]</f>
        <v>72</v>
      </c>
    </row>
    <row r="378" spans="1:9" x14ac:dyDescent="0.25">
      <c r="A378" t="s">
        <v>526</v>
      </c>
      <c r="B378" t="s">
        <v>524</v>
      </c>
      <c r="C378" s="2" t="str">
        <f t="shared" si="8"/>
        <v>avril</v>
      </c>
      <c r="D378" t="s">
        <v>69</v>
      </c>
      <c r="E378" t="s">
        <v>1585</v>
      </c>
      <c r="F378">
        <v>12</v>
      </c>
      <c r="G378" t="s">
        <v>39</v>
      </c>
      <c r="H378">
        <v>5.96</v>
      </c>
      <c r="I378">
        <f>Table1[[#This Row],[Quantité corrigé]]*Table1[[#This Row],[Prix_Unitaire_HT]]</f>
        <v>71.52</v>
      </c>
    </row>
    <row r="379" spans="1:9" x14ac:dyDescent="0.25">
      <c r="A379" t="s">
        <v>527</v>
      </c>
      <c r="B379" t="s">
        <v>524</v>
      </c>
      <c r="C379" s="2" t="str">
        <f t="shared" si="8"/>
        <v>avril</v>
      </c>
      <c r="D379" t="s">
        <v>69</v>
      </c>
      <c r="E379" t="s">
        <v>1586</v>
      </c>
      <c r="F379">
        <v>10</v>
      </c>
      <c r="G379" t="s">
        <v>43</v>
      </c>
      <c r="H379">
        <v>3.95</v>
      </c>
      <c r="I379">
        <f>Table1[[#This Row],[Quantité corrigé]]*Table1[[#This Row],[Prix_Unitaire_HT]]</f>
        <v>39.5</v>
      </c>
    </row>
    <row r="380" spans="1:9" x14ac:dyDescent="0.25">
      <c r="A380" t="s">
        <v>528</v>
      </c>
      <c r="B380" t="s">
        <v>529</v>
      </c>
      <c r="C380" s="2" t="str">
        <f t="shared" si="8"/>
        <v>avril</v>
      </c>
      <c r="D380" t="s">
        <v>19</v>
      </c>
      <c r="E380" t="s">
        <v>1580</v>
      </c>
      <c r="F380">
        <v>8</v>
      </c>
      <c r="G380" t="s">
        <v>21</v>
      </c>
      <c r="H380">
        <v>4.3499999999999996</v>
      </c>
      <c r="I380">
        <f>Table1[[#This Row],[Quantité corrigé]]*Table1[[#This Row],[Prix_Unitaire_HT]]</f>
        <v>34.799999999999997</v>
      </c>
    </row>
    <row r="381" spans="1:9" x14ac:dyDescent="0.25">
      <c r="A381" t="s">
        <v>530</v>
      </c>
      <c r="B381" t="s">
        <v>529</v>
      </c>
      <c r="C381" s="2" t="str">
        <f t="shared" si="8"/>
        <v>avril</v>
      </c>
      <c r="D381" t="s">
        <v>19</v>
      </c>
      <c r="E381" t="s">
        <v>1581</v>
      </c>
      <c r="F381">
        <v>10</v>
      </c>
      <c r="G381" t="s">
        <v>25</v>
      </c>
      <c r="H381">
        <v>21.38</v>
      </c>
      <c r="I381">
        <f>Table1[[#This Row],[Quantité corrigé]]*Table1[[#This Row],[Prix_Unitaire_HT]]</f>
        <v>213.79999999999998</v>
      </c>
    </row>
    <row r="382" spans="1:9" x14ac:dyDescent="0.25">
      <c r="A382" t="s">
        <v>531</v>
      </c>
      <c r="B382" t="s">
        <v>529</v>
      </c>
      <c r="C382" s="2" t="str">
        <f t="shared" si="8"/>
        <v>avril</v>
      </c>
      <c r="D382" t="s">
        <v>19</v>
      </c>
      <c r="E382" t="s">
        <v>1582</v>
      </c>
      <c r="F382">
        <v>8</v>
      </c>
      <c r="G382" t="s">
        <v>29</v>
      </c>
      <c r="H382">
        <v>10.24</v>
      </c>
      <c r="I382">
        <f>Table1[[#This Row],[Quantité corrigé]]*Table1[[#This Row],[Prix_Unitaire_HT]]</f>
        <v>81.92</v>
      </c>
    </row>
    <row r="383" spans="1:9" x14ac:dyDescent="0.25">
      <c r="A383" t="s">
        <v>532</v>
      </c>
      <c r="B383" t="s">
        <v>529</v>
      </c>
      <c r="C383" s="2" t="str">
        <f t="shared" si="8"/>
        <v>avril</v>
      </c>
      <c r="D383" t="s">
        <v>50</v>
      </c>
      <c r="E383" t="s">
        <v>1587</v>
      </c>
      <c r="F383">
        <v>2</v>
      </c>
      <c r="G383" t="s">
        <v>52</v>
      </c>
      <c r="H383">
        <v>18.22</v>
      </c>
      <c r="I383">
        <f>Table1[[#This Row],[Quantité corrigé]]*Table1[[#This Row],[Prix_Unitaire_HT]]</f>
        <v>36.44</v>
      </c>
    </row>
    <row r="384" spans="1:9" x14ac:dyDescent="0.25">
      <c r="A384" t="s">
        <v>533</v>
      </c>
      <c r="B384" t="s">
        <v>529</v>
      </c>
      <c r="C384" s="2" t="str">
        <f t="shared" si="8"/>
        <v>avril</v>
      </c>
      <c r="D384" t="s">
        <v>195</v>
      </c>
      <c r="E384" t="s">
        <v>1588</v>
      </c>
      <c r="F384">
        <v>6</v>
      </c>
      <c r="G384" t="s">
        <v>17</v>
      </c>
      <c r="H384">
        <v>8.8800000000000008</v>
      </c>
      <c r="I384">
        <f>Table1[[#This Row],[Quantité corrigé]]*Table1[[#This Row],[Prix_Unitaire_HT]]</f>
        <v>53.28</v>
      </c>
    </row>
    <row r="385" spans="1:9" x14ac:dyDescent="0.25">
      <c r="A385" t="s">
        <v>534</v>
      </c>
      <c r="B385" t="s">
        <v>535</v>
      </c>
      <c r="C385" s="2" t="str">
        <f t="shared" si="8"/>
        <v>avril</v>
      </c>
      <c r="D385" t="s">
        <v>61</v>
      </c>
      <c r="E385" t="s">
        <v>1577</v>
      </c>
      <c r="F385">
        <v>6</v>
      </c>
      <c r="G385" t="s">
        <v>11</v>
      </c>
      <c r="H385">
        <v>14.01</v>
      </c>
      <c r="I385">
        <f>Table1[[#This Row],[Quantité corrigé]]*Table1[[#This Row],[Prix_Unitaire_HT]]</f>
        <v>84.06</v>
      </c>
    </row>
    <row r="386" spans="1:9" x14ac:dyDescent="0.25">
      <c r="A386" t="s">
        <v>536</v>
      </c>
      <c r="B386" t="s">
        <v>535</v>
      </c>
      <c r="C386" s="2" t="str">
        <f t="shared" ref="C386:C449" si="9">TEXT(DATE(2024,MID(B386,4,2),_xlfn.TEXTBEFORE(B386,"/",1)),"mmmm")</f>
        <v>avril</v>
      </c>
      <c r="D386" t="s">
        <v>61</v>
      </c>
      <c r="E386" t="s">
        <v>1578</v>
      </c>
      <c r="F386">
        <v>5</v>
      </c>
      <c r="G386" t="s">
        <v>11</v>
      </c>
      <c r="H386">
        <v>13.26</v>
      </c>
      <c r="I386">
        <f>Table1[[#This Row],[Quantité corrigé]]*Table1[[#This Row],[Prix_Unitaire_HT]]</f>
        <v>66.3</v>
      </c>
    </row>
    <row r="387" spans="1:9" x14ac:dyDescent="0.25">
      <c r="A387" t="s">
        <v>537</v>
      </c>
      <c r="B387" t="s">
        <v>535</v>
      </c>
      <c r="C387" s="2" t="str">
        <f t="shared" si="9"/>
        <v>avril</v>
      </c>
      <c r="D387" t="s">
        <v>61</v>
      </c>
      <c r="E387" t="s">
        <v>1579</v>
      </c>
      <c r="F387">
        <v>4</v>
      </c>
      <c r="G387" t="s">
        <v>17</v>
      </c>
      <c r="H387">
        <v>1.24</v>
      </c>
      <c r="I387">
        <f>Table1[[#This Row],[Quantité corrigé]]*Table1[[#This Row],[Prix_Unitaire_HT]]</f>
        <v>4.96</v>
      </c>
    </row>
    <row r="388" spans="1:9" x14ac:dyDescent="0.25">
      <c r="A388" t="s">
        <v>538</v>
      </c>
      <c r="B388" t="s">
        <v>539</v>
      </c>
      <c r="C388" s="2" t="str">
        <f t="shared" si="9"/>
        <v>avril</v>
      </c>
      <c r="D388" t="s">
        <v>66</v>
      </c>
      <c r="E388" t="s">
        <v>1583</v>
      </c>
      <c r="F388">
        <v>5</v>
      </c>
      <c r="G388" t="s">
        <v>17</v>
      </c>
      <c r="H388">
        <v>9.3699999999999992</v>
      </c>
      <c r="I388">
        <f>Table1[[#This Row],[Quantité corrigé]]*Table1[[#This Row],[Prix_Unitaire_HT]]</f>
        <v>46.849999999999994</v>
      </c>
    </row>
    <row r="389" spans="1:9" x14ac:dyDescent="0.25">
      <c r="A389" t="s">
        <v>540</v>
      </c>
      <c r="B389" t="s">
        <v>539</v>
      </c>
      <c r="C389" s="2" t="str">
        <f t="shared" si="9"/>
        <v>avril</v>
      </c>
      <c r="D389" t="s">
        <v>66</v>
      </c>
      <c r="E389" t="s">
        <v>1584</v>
      </c>
      <c r="F389">
        <v>8</v>
      </c>
      <c r="G389" t="s">
        <v>17</v>
      </c>
      <c r="H389">
        <v>7.08</v>
      </c>
      <c r="I389">
        <f>Table1[[#This Row],[Quantité corrigé]]*Table1[[#This Row],[Prix_Unitaire_HT]]</f>
        <v>56.64</v>
      </c>
    </row>
    <row r="390" spans="1:9" x14ac:dyDescent="0.25">
      <c r="A390" t="s">
        <v>541</v>
      </c>
      <c r="B390" t="s">
        <v>539</v>
      </c>
      <c r="C390" s="2" t="str">
        <f t="shared" si="9"/>
        <v>avril</v>
      </c>
      <c r="D390" t="s">
        <v>69</v>
      </c>
      <c r="E390" t="s">
        <v>1585</v>
      </c>
      <c r="F390">
        <v>8</v>
      </c>
      <c r="G390" t="s">
        <v>39</v>
      </c>
      <c r="H390">
        <v>5.69</v>
      </c>
      <c r="I390">
        <f>Table1[[#This Row],[Quantité corrigé]]*Table1[[#This Row],[Prix_Unitaire_HT]]</f>
        <v>45.52</v>
      </c>
    </row>
    <row r="391" spans="1:9" x14ac:dyDescent="0.25">
      <c r="A391" t="s">
        <v>542</v>
      </c>
      <c r="B391" t="s">
        <v>539</v>
      </c>
      <c r="C391" s="2" t="str">
        <f t="shared" si="9"/>
        <v>avril</v>
      </c>
      <c r="D391" t="s">
        <v>69</v>
      </c>
      <c r="E391" t="s">
        <v>1586</v>
      </c>
      <c r="F391">
        <v>5</v>
      </c>
      <c r="G391" t="s">
        <v>43</v>
      </c>
      <c r="H391">
        <v>4.04</v>
      </c>
      <c r="I391">
        <f>Table1[[#This Row],[Quantité corrigé]]*Table1[[#This Row],[Prix_Unitaire_HT]]</f>
        <v>20.2</v>
      </c>
    </row>
    <row r="392" spans="1:9" x14ac:dyDescent="0.25">
      <c r="A392" t="s">
        <v>543</v>
      </c>
      <c r="B392" t="s">
        <v>544</v>
      </c>
      <c r="C392" s="2" t="str">
        <f t="shared" si="9"/>
        <v>avril</v>
      </c>
      <c r="D392" t="s">
        <v>195</v>
      </c>
      <c r="E392" t="s">
        <v>1588</v>
      </c>
      <c r="F392">
        <v>6</v>
      </c>
      <c r="G392" t="s">
        <v>17</v>
      </c>
      <c r="H392">
        <v>9.3699999999999992</v>
      </c>
      <c r="I392">
        <f>Table1[[#This Row],[Quantité corrigé]]*Table1[[#This Row],[Prix_Unitaire_HT]]</f>
        <v>56.22</v>
      </c>
    </row>
    <row r="393" spans="1:9" x14ac:dyDescent="0.25">
      <c r="A393" t="s">
        <v>545</v>
      </c>
      <c r="B393" t="s">
        <v>546</v>
      </c>
      <c r="C393" s="2" t="str">
        <f t="shared" si="9"/>
        <v>avril</v>
      </c>
      <c r="D393" t="s">
        <v>61</v>
      </c>
      <c r="E393" t="s">
        <v>1577</v>
      </c>
      <c r="F393">
        <v>6</v>
      </c>
      <c r="G393" t="s">
        <v>11</v>
      </c>
      <c r="H393">
        <v>14.23</v>
      </c>
      <c r="I393">
        <f>Table1[[#This Row],[Quantité corrigé]]*Table1[[#This Row],[Prix_Unitaire_HT]]</f>
        <v>85.38</v>
      </c>
    </row>
    <row r="394" spans="1:9" x14ac:dyDescent="0.25">
      <c r="A394" t="s">
        <v>547</v>
      </c>
      <c r="B394" t="s">
        <v>546</v>
      </c>
      <c r="C394" s="2" t="str">
        <f t="shared" si="9"/>
        <v>avril</v>
      </c>
      <c r="D394" t="s">
        <v>61</v>
      </c>
      <c r="E394" t="s">
        <v>1578</v>
      </c>
      <c r="F394">
        <v>6</v>
      </c>
      <c r="G394" t="s">
        <v>11</v>
      </c>
      <c r="H394">
        <v>13.01</v>
      </c>
      <c r="I394">
        <f>Table1[[#This Row],[Quantité corrigé]]*Table1[[#This Row],[Prix_Unitaire_HT]]</f>
        <v>78.06</v>
      </c>
    </row>
    <row r="395" spans="1:9" x14ac:dyDescent="0.25">
      <c r="A395" t="s">
        <v>548</v>
      </c>
      <c r="B395" t="s">
        <v>546</v>
      </c>
      <c r="C395" s="2" t="str">
        <f t="shared" si="9"/>
        <v>avril</v>
      </c>
      <c r="D395" t="s">
        <v>61</v>
      </c>
      <c r="E395" t="s">
        <v>1579</v>
      </c>
      <c r="F395">
        <v>5</v>
      </c>
      <c r="G395" t="s">
        <v>17</v>
      </c>
      <c r="H395">
        <v>1.24</v>
      </c>
      <c r="I395">
        <f>Table1[[#This Row],[Quantité corrigé]]*Table1[[#This Row],[Prix_Unitaire_HT]]</f>
        <v>6.2</v>
      </c>
    </row>
    <row r="396" spans="1:9" x14ac:dyDescent="0.25">
      <c r="A396" t="s">
        <v>549</v>
      </c>
      <c r="B396" t="s">
        <v>546</v>
      </c>
      <c r="C396" s="2" t="str">
        <f t="shared" si="9"/>
        <v>avril</v>
      </c>
      <c r="D396" t="s">
        <v>19</v>
      </c>
      <c r="E396" t="s">
        <v>1580</v>
      </c>
      <c r="F396">
        <v>6</v>
      </c>
      <c r="G396" t="s">
        <v>21</v>
      </c>
      <c r="H396">
        <v>4.4800000000000004</v>
      </c>
      <c r="I396">
        <f>Table1[[#This Row],[Quantité corrigé]]*Table1[[#This Row],[Prix_Unitaire_HT]]</f>
        <v>26.880000000000003</v>
      </c>
    </row>
    <row r="397" spans="1:9" x14ac:dyDescent="0.25">
      <c r="A397" t="s">
        <v>550</v>
      </c>
      <c r="B397" t="s">
        <v>546</v>
      </c>
      <c r="C397" s="2" t="str">
        <f t="shared" si="9"/>
        <v>avril</v>
      </c>
      <c r="D397" t="s">
        <v>19</v>
      </c>
      <c r="E397" t="s">
        <v>1581</v>
      </c>
      <c r="F397">
        <v>6</v>
      </c>
      <c r="G397" t="s">
        <v>25</v>
      </c>
      <c r="H397">
        <v>23.17</v>
      </c>
      <c r="I397">
        <f>Table1[[#This Row],[Quantité corrigé]]*Table1[[#This Row],[Prix_Unitaire_HT]]</f>
        <v>139.02000000000001</v>
      </c>
    </row>
    <row r="398" spans="1:9" x14ac:dyDescent="0.25">
      <c r="A398" t="s">
        <v>551</v>
      </c>
      <c r="B398" t="s">
        <v>546</v>
      </c>
      <c r="C398" s="2" t="str">
        <f t="shared" si="9"/>
        <v>avril</v>
      </c>
      <c r="D398" t="s">
        <v>19</v>
      </c>
      <c r="E398" t="s">
        <v>1582</v>
      </c>
      <c r="F398">
        <v>6</v>
      </c>
      <c r="G398" t="s">
        <v>29</v>
      </c>
      <c r="H398">
        <v>10.32</v>
      </c>
      <c r="I398">
        <f>Table1[[#This Row],[Quantité corrigé]]*Table1[[#This Row],[Prix_Unitaire_HT]]</f>
        <v>61.92</v>
      </c>
    </row>
    <row r="399" spans="1:9" x14ac:dyDescent="0.25">
      <c r="A399" t="s">
        <v>552</v>
      </c>
      <c r="B399" t="s">
        <v>553</v>
      </c>
      <c r="C399" s="2" t="str">
        <f t="shared" si="9"/>
        <v>avril</v>
      </c>
      <c r="D399" t="s">
        <v>66</v>
      </c>
      <c r="E399" t="s">
        <v>1583</v>
      </c>
      <c r="F399">
        <v>12</v>
      </c>
      <c r="G399" t="s">
        <v>17</v>
      </c>
      <c r="H399">
        <v>9.18</v>
      </c>
      <c r="I399">
        <f>Table1[[#This Row],[Quantité corrigé]]*Table1[[#This Row],[Prix_Unitaire_HT]]</f>
        <v>110.16</v>
      </c>
    </row>
    <row r="400" spans="1:9" x14ac:dyDescent="0.25">
      <c r="A400" t="s">
        <v>554</v>
      </c>
      <c r="B400" t="s">
        <v>553</v>
      </c>
      <c r="C400" s="2" t="str">
        <f t="shared" si="9"/>
        <v>avril</v>
      </c>
      <c r="D400" t="s">
        <v>66</v>
      </c>
      <c r="E400" t="s">
        <v>1584</v>
      </c>
      <c r="F400">
        <v>5</v>
      </c>
      <c r="G400" t="s">
        <v>17</v>
      </c>
      <c r="H400">
        <v>7.33</v>
      </c>
      <c r="I400">
        <f>Table1[[#This Row],[Quantité corrigé]]*Table1[[#This Row],[Prix_Unitaire_HT]]</f>
        <v>36.65</v>
      </c>
    </row>
    <row r="401" spans="1:9" x14ac:dyDescent="0.25">
      <c r="A401" t="s">
        <v>555</v>
      </c>
      <c r="B401" t="s">
        <v>553</v>
      </c>
      <c r="C401" s="2" t="str">
        <f t="shared" si="9"/>
        <v>avril</v>
      </c>
      <c r="D401" t="s">
        <v>69</v>
      </c>
      <c r="E401" t="s">
        <v>1585</v>
      </c>
      <c r="F401">
        <v>12</v>
      </c>
      <c r="G401" t="s">
        <v>39</v>
      </c>
      <c r="H401">
        <v>6.03</v>
      </c>
      <c r="I401">
        <f>Table1[[#This Row],[Quantité corrigé]]*Table1[[#This Row],[Prix_Unitaire_HT]]</f>
        <v>72.36</v>
      </c>
    </row>
    <row r="402" spans="1:9" x14ac:dyDescent="0.25">
      <c r="A402" t="s">
        <v>556</v>
      </c>
      <c r="B402" t="s">
        <v>553</v>
      </c>
      <c r="C402" s="2" t="str">
        <f t="shared" si="9"/>
        <v>avril</v>
      </c>
      <c r="D402" t="s">
        <v>69</v>
      </c>
      <c r="E402" t="s">
        <v>1586</v>
      </c>
      <c r="F402">
        <v>5</v>
      </c>
      <c r="G402" t="s">
        <v>43</v>
      </c>
      <c r="H402">
        <v>4.01</v>
      </c>
      <c r="I402">
        <f>Table1[[#This Row],[Quantité corrigé]]*Table1[[#This Row],[Prix_Unitaire_HT]]</f>
        <v>20.049999999999997</v>
      </c>
    </row>
    <row r="403" spans="1:9" x14ac:dyDescent="0.25">
      <c r="A403" t="s">
        <v>557</v>
      </c>
      <c r="B403" t="s">
        <v>558</v>
      </c>
      <c r="C403" s="2" t="str">
        <f t="shared" si="9"/>
        <v>mai</v>
      </c>
      <c r="D403" t="s">
        <v>19</v>
      </c>
      <c r="E403" t="s">
        <v>1580</v>
      </c>
      <c r="F403">
        <v>10</v>
      </c>
      <c r="G403" t="s">
        <v>21</v>
      </c>
      <c r="H403">
        <v>4.34</v>
      </c>
      <c r="I403">
        <f>Table1[[#This Row],[Quantité corrigé]]*Table1[[#This Row],[Prix_Unitaire_HT]]</f>
        <v>43.4</v>
      </c>
    </row>
    <row r="404" spans="1:9" x14ac:dyDescent="0.25">
      <c r="A404" t="s">
        <v>559</v>
      </c>
      <c r="B404" t="s">
        <v>558</v>
      </c>
      <c r="C404" s="2" t="str">
        <f t="shared" si="9"/>
        <v>mai</v>
      </c>
      <c r="D404" t="s">
        <v>19</v>
      </c>
      <c r="E404" t="s">
        <v>1581</v>
      </c>
      <c r="F404">
        <v>6</v>
      </c>
      <c r="G404" t="s">
        <v>25</v>
      </c>
      <c r="H404">
        <v>21.27</v>
      </c>
      <c r="I404">
        <f>Table1[[#This Row],[Quantité corrigé]]*Table1[[#This Row],[Prix_Unitaire_HT]]</f>
        <v>127.62</v>
      </c>
    </row>
    <row r="405" spans="1:9" x14ac:dyDescent="0.25">
      <c r="A405" t="s">
        <v>560</v>
      </c>
      <c r="B405" t="s">
        <v>558</v>
      </c>
      <c r="C405" s="2" t="str">
        <f t="shared" si="9"/>
        <v>mai</v>
      </c>
      <c r="D405" t="s">
        <v>19</v>
      </c>
      <c r="E405" t="s">
        <v>1582</v>
      </c>
      <c r="F405">
        <v>4</v>
      </c>
      <c r="G405" t="s">
        <v>29</v>
      </c>
      <c r="H405">
        <v>9.86</v>
      </c>
      <c r="I405">
        <f>Table1[[#This Row],[Quantité corrigé]]*Table1[[#This Row],[Prix_Unitaire_HT]]</f>
        <v>39.44</v>
      </c>
    </row>
    <row r="406" spans="1:9" x14ac:dyDescent="0.25">
      <c r="A406" t="s">
        <v>561</v>
      </c>
      <c r="B406" t="s">
        <v>558</v>
      </c>
      <c r="C406" s="2" t="str">
        <f t="shared" si="9"/>
        <v>mai</v>
      </c>
      <c r="D406" t="s">
        <v>50</v>
      </c>
      <c r="E406" t="s">
        <v>1587</v>
      </c>
      <c r="F406">
        <v>2</v>
      </c>
      <c r="G406" t="s">
        <v>52</v>
      </c>
      <c r="H406">
        <v>18.27</v>
      </c>
      <c r="I406">
        <f>Table1[[#This Row],[Quantité corrigé]]*Table1[[#This Row],[Prix_Unitaire_HT]]</f>
        <v>36.54</v>
      </c>
    </row>
    <row r="407" spans="1:9" x14ac:dyDescent="0.25">
      <c r="A407" t="s">
        <v>562</v>
      </c>
      <c r="B407" t="s">
        <v>558</v>
      </c>
      <c r="C407" s="2" t="str">
        <f t="shared" si="9"/>
        <v>mai</v>
      </c>
      <c r="D407" t="s">
        <v>195</v>
      </c>
      <c r="E407" t="s">
        <v>1588</v>
      </c>
      <c r="F407">
        <v>8</v>
      </c>
      <c r="G407" t="s">
        <v>17</v>
      </c>
      <c r="H407">
        <v>8.86</v>
      </c>
      <c r="I407">
        <f>Table1[[#This Row],[Quantité corrigé]]*Table1[[#This Row],[Prix_Unitaire_HT]]</f>
        <v>70.88</v>
      </c>
    </row>
    <row r="408" spans="1:9" x14ac:dyDescent="0.25">
      <c r="A408" t="s">
        <v>563</v>
      </c>
      <c r="B408" t="s">
        <v>564</v>
      </c>
      <c r="C408" s="2" t="str">
        <f t="shared" si="9"/>
        <v>mai</v>
      </c>
      <c r="D408" t="s">
        <v>61</v>
      </c>
      <c r="E408" t="s">
        <v>1577</v>
      </c>
      <c r="F408">
        <v>4</v>
      </c>
      <c r="G408" t="s">
        <v>11</v>
      </c>
      <c r="H408">
        <v>14.79</v>
      </c>
      <c r="I408">
        <f>Table1[[#This Row],[Quantité corrigé]]*Table1[[#This Row],[Prix_Unitaire_HT]]</f>
        <v>59.16</v>
      </c>
    </row>
    <row r="409" spans="1:9" x14ac:dyDescent="0.25">
      <c r="A409" t="s">
        <v>565</v>
      </c>
      <c r="B409" t="s">
        <v>564</v>
      </c>
      <c r="C409" s="2" t="str">
        <f t="shared" si="9"/>
        <v>mai</v>
      </c>
      <c r="D409" t="s">
        <v>61</v>
      </c>
      <c r="E409" t="s">
        <v>1578</v>
      </c>
      <c r="F409">
        <v>5</v>
      </c>
      <c r="G409" t="s">
        <v>11</v>
      </c>
      <c r="H409">
        <v>13.53</v>
      </c>
      <c r="I409">
        <f>Table1[[#This Row],[Quantité corrigé]]*Table1[[#This Row],[Prix_Unitaire_HT]]</f>
        <v>67.649999999999991</v>
      </c>
    </row>
    <row r="410" spans="1:9" x14ac:dyDescent="0.25">
      <c r="A410" t="s">
        <v>566</v>
      </c>
      <c r="B410" t="s">
        <v>564</v>
      </c>
      <c r="C410" s="2" t="str">
        <f t="shared" si="9"/>
        <v>mai</v>
      </c>
      <c r="D410" t="s">
        <v>61</v>
      </c>
      <c r="E410" t="s">
        <v>1579</v>
      </c>
      <c r="F410">
        <v>4</v>
      </c>
      <c r="G410" t="s">
        <v>17</v>
      </c>
      <c r="H410">
        <v>1.18</v>
      </c>
      <c r="I410">
        <f>Table1[[#This Row],[Quantité corrigé]]*Table1[[#This Row],[Prix_Unitaire_HT]]</f>
        <v>4.72</v>
      </c>
    </row>
    <row r="411" spans="1:9" x14ac:dyDescent="0.25">
      <c r="A411" t="s">
        <v>567</v>
      </c>
      <c r="B411" t="s">
        <v>568</v>
      </c>
      <c r="C411" s="2" t="str">
        <f t="shared" si="9"/>
        <v>mai</v>
      </c>
      <c r="D411" t="s">
        <v>66</v>
      </c>
      <c r="E411" t="s">
        <v>1583</v>
      </c>
      <c r="F411">
        <v>12</v>
      </c>
      <c r="G411" t="s">
        <v>17</v>
      </c>
      <c r="H411">
        <v>10.28</v>
      </c>
      <c r="I411">
        <f>Table1[[#This Row],[Quantité corrigé]]*Table1[[#This Row],[Prix_Unitaire_HT]]</f>
        <v>123.35999999999999</v>
      </c>
    </row>
    <row r="412" spans="1:9" x14ac:dyDescent="0.25">
      <c r="A412" t="s">
        <v>569</v>
      </c>
      <c r="B412" t="s">
        <v>568</v>
      </c>
      <c r="C412" s="2" t="str">
        <f t="shared" si="9"/>
        <v>mai</v>
      </c>
      <c r="D412" t="s">
        <v>66</v>
      </c>
      <c r="E412" t="s">
        <v>1584</v>
      </c>
      <c r="F412">
        <v>12</v>
      </c>
      <c r="G412" t="s">
        <v>17</v>
      </c>
      <c r="H412">
        <v>6.72</v>
      </c>
      <c r="I412">
        <f>Table1[[#This Row],[Quantité corrigé]]*Table1[[#This Row],[Prix_Unitaire_HT]]</f>
        <v>80.64</v>
      </c>
    </row>
    <row r="413" spans="1:9" x14ac:dyDescent="0.25">
      <c r="A413" t="s">
        <v>570</v>
      </c>
      <c r="B413" t="s">
        <v>568</v>
      </c>
      <c r="C413" s="2" t="str">
        <f t="shared" si="9"/>
        <v>mai</v>
      </c>
      <c r="D413" t="s">
        <v>69</v>
      </c>
      <c r="E413" t="s">
        <v>1585</v>
      </c>
      <c r="F413">
        <v>12</v>
      </c>
      <c r="G413" t="s">
        <v>39</v>
      </c>
      <c r="H413">
        <v>5.95</v>
      </c>
      <c r="I413">
        <f>Table1[[#This Row],[Quantité corrigé]]*Table1[[#This Row],[Prix_Unitaire_HT]]</f>
        <v>71.400000000000006</v>
      </c>
    </row>
    <row r="414" spans="1:9" x14ac:dyDescent="0.25">
      <c r="A414" t="s">
        <v>571</v>
      </c>
      <c r="B414" t="s">
        <v>568</v>
      </c>
      <c r="C414" s="2" t="str">
        <f t="shared" si="9"/>
        <v>mai</v>
      </c>
      <c r="D414" t="s">
        <v>69</v>
      </c>
      <c r="E414" t="s">
        <v>1586</v>
      </c>
      <c r="F414">
        <v>10</v>
      </c>
      <c r="G414" t="s">
        <v>43</v>
      </c>
      <c r="H414">
        <v>3.94</v>
      </c>
      <c r="I414">
        <f>Table1[[#This Row],[Quantité corrigé]]*Table1[[#This Row],[Prix_Unitaire_HT]]</f>
        <v>39.4</v>
      </c>
    </row>
    <row r="415" spans="1:9" x14ac:dyDescent="0.25">
      <c r="A415" t="s">
        <v>572</v>
      </c>
      <c r="B415" t="s">
        <v>573</v>
      </c>
      <c r="C415" s="2" t="str">
        <f t="shared" si="9"/>
        <v>mai</v>
      </c>
      <c r="D415" t="s">
        <v>195</v>
      </c>
      <c r="E415" t="s">
        <v>1588</v>
      </c>
      <c r="F415">
        <v>10</v>
      </c>
      <c r="G415" t="s">
        <v>17</v>
      </c>
      <c r="H415">
        <v>9.0500000000000007</v>
      </c>
      <c r="I415">
        <f>Table1[[#This Row],[Quantité corrigé]]*Table1[[#This Row],[Prix_Unitaire_HT]]</f>
        <v>90.5</v>
      </c>
    </row>
    <row r="416" spans="1:9" x14ac:dyDescent="0.25">
      <c r="A416" t="s">
        <v>574</v>
      </c>
      <c r="B416" t="s">
        <v>575</v>
      </c>
      <c r="C416" s="2" t="str">
        <f t="shared" si="9"/>
        <v>mai</v>
      </c>
      <c r="D416" t="s">
        <v>61</v>
      </c>
      <c r="E416" t="s">
        <v>1577</v>
      </c>
      <c r="F416">
        <v>3</v>
      </c>
      <c r="G416" t="s">
        <v>11</v>
      </c>
      <c r="H416">
        <v>14.17</v>
      </c>
      <c r="I416">
        <f>Table1[[#This Row],[Quantité corrigé]]*Table1[[#This Row],[Prix_Unitaire_HT]]</f>
        <v>42.51</v>
      </c>
    </row>
    <row r="417" spans="1:9" x14ac:dyDescent="0.25">
      <c r="A417" t="s">
        <v>576</v>
      </c>
      <c r="B417" t="s">
        <v>575</v>
      </c>
      <c r="C417" s="2" t="str">
        <f t="shared" si="9"/>
        <v>mai</v>
      </c>
      <c r="D417" t="s">
        <v>61</v>
      </c>
      <c r="E417" t="s">
        <v>1578</v>
      </c>
      <c r="F417">
        <v>4</v>
      </c>
      <c r="G417" t="s">
        <v>11</v>
      </c>
      <c r="H417">
        <v>13.21</v>
      </c>
      <c r="I417">
        <f>Table1[[#This Row],[Quantité corrigé]]*Table1[[#This Row],[Prix_Unitaire_HT]]</f>
        <v>52.84</v>
      </c>
    </row>
    <row r="418" spans="1:9" x14ac:dyDescent="0.25">
      <c r="A418" t="s">
        <v>577</v>
      </c>
      <c r="B418" t="s">
        <v>575</v>
      </c>
      <c r="C418" s="2" t="str">
        <f t="shared" si="9"/>
        <v>mai</v>
      </c>
      <c r="D418" t="s">
        <v>61</v>
      </c>
      <c r="E418" t="s">
        <v>1579</v>
      </c>
      <c r="F418">
        <v>5</v>
      </c>
      <c r="G418" t="s">
        <v>17</v>
      </c>
      <c r="H418">
        <v>1.27</v>
      </c>
      <c r="I418">
        <f>Table1[[#This Row],[Quantité corrigé]]*Table1[[#This Row],[Prix_Unitaire_HT]]</f>
        <v>6.35</v>
      </c>
    </row>
    <row r="419" spans="1:9" x14ac:dyDescent="0.25">
      <c r="A419" t="s">
        <v>578</v>
      </c>
      <c r="B419" t="s">
        <v>575</v>
      </c>
      <c r="C419" s="2" t="str">
        <f t="shared" si="9"/>
        <v>mai</v>
      </c>
      <c r="D419" t="s">
        <v>19</v>
      </c>
      <c r="E419" t="s">
        <v>1580</v>
      </c>
      <c r="F419">
        <v>4</v>
      </c>
      <c r="G419" t="s">
        <v>21</v>
      </c>
      <c r="H419">
        <v>4.2699999999999996</v>
      </c>
      <c r="I419">
        <f>Table1[[#This Row],[Quantité corrigé]]*Table1[[#This Row],[Prix_Unitaire_HT]]</f>
        <v>17.079999999999998</v>
      </c>
    </row>
    <row r="420" spans="1:9" x14ac:dyDescent="0.25">
      <c r="A420" t="s">
        <v>579</v>
      </c>
      <c r="B420" t="s">
        <v>575</v>
      </c>
      <c r="C420" s="2" t="str">
        <f t="shared" si="9"/>
        <v>mai</v>
      </c>
      <c r="D420" t="s">
        <v>19</v>
      </c>
      <c r="E420" t="s">
        <v>1581</v>
      </c>
      <c r="F420">
        <v>10</v>
      </c>
      <c r="G420" t="s">
        <v>25</v>
      </c>
      <c r="H420">
        <v>21.25</v>
      </c>
      <c r="I420">
        <f>Table1[[#This Row],[Quantité corrigé]]*Table1[[#This Row],[Prix_Unitaire_HT]]</f>
        <v>212.5</v>
      </c>
    </row>
    <row r="421" spans="1:9" x14ac:dyDescent="0.25">
      <c r="A421" t="s">
        <v>580</v>
      </c>
      <c r="B421" t="s">
        <v>575</v>
      </c>
      <c r="C421" s="2" t="str">
        <f t="shared" si="9"/>
        <v>mai</v>
      </c>
      <c r="D421" t="s">
        <v>19</v>
      </c>
      <c r="E421" t="s">
        <v>1582</v>
      </c>
      <c r="F421">
        <v>10</v>
      </c>
      <c r="G421" t="s">
        <v>29</v>
      </c>
      <c r="H421">
        <v>9.3699999999999992</v>
      </c>
      <c r="I421">
        <f>Table1[[#This Row],[Quantité corrigé]]*Table1[[#This Row],[Prix_Unitaire_HT]]</f>
        <v>93.699999999999989</v>
      </c>
    </row>
    <row r="422" spans="1:9" x14ac:dyDescent="0.25">
      <c r="A422" t="s">
        <v>581</v>
      </c>
      <c r="B422" t="s">
        <v>582</v>
      </c>
      <c r="C422" s="2" t="str">
        <f t="shared" si="9"/>
        <v>mai</v>
      </c>
      <c r="D422" t="s">
        <v>66</v>
      </c>
      <c r="E422" t="s">
        <v>1583</v>
      </c>
      <c r="F422">
        <v>6</v>
      </c>
      <c r="G422" t="s">
        <v>17</v>
      </c>
      <c r="H422">
        <v>8.93</v>
      </c>
      <c r="I422">
        <f>Table1[[#This Row],[Quantité corrigé]]*Table1[[#This Row],[Prix_Unitaire_HT]]</f>
        <v>53.58</v>
      </c>
    </row>
    <row r="423" spans="1:9" x14ac:dyDescent="0.25">
      <c r="A423" t="s">
        <v>583</v>
      </c>
      <c r="B423" t="s">
        <v>582</v>
      </c>
      <c r="C423" s="2" t="str">
        <f t="shared" si="9"/>
        <v>mai</v>
      </c>
      <c r="D423" t="s">
        <v>66</v>
      </c>
      <c r="E423" t="s">
        <v>1584</v>
      </c>
      <c r="F423">
        <v>6</v>
      </c>
      <c r="G423" t="s">
        <v>17</v>
      </c>
      <c r="H423">
        <v>6.84</v>
      </c>
      <c r="I423">
        <f>Table1[[#This Row],[Quantité corrigé]]*Table1[[#This Row],[Prix_Unitaire_HT]]</f>
        <v>41.04</v>
      </c>
    </row>
    <row r="424" spans="1:9" x14ac:dyDescent="0.25">
      <c r="A424" t="s">
        <v>584</v>
      </c>
      <c r="B424" t="s">
        <v>582</v>
      </c>
      <c r="C424" s="2" t="str">
        <f t="shared" si="9"/>
        <v>mai</v>
      </c>
      <c r="D424" t="s">
        <v>69</v>
      </c>
      <c r="E424" t="s">
        <v>1585</v>
      </c>
      <c r="F424">
        <v>10</v>
      </c>
      <c r="G424" t="s">
        <v>39</v>
      </c>
      <c r="H424">
        <v>5.86</v>
      </c>
      <c r="I424">
        <f>Table1[[#This Row],[Quantité corrigé]]*Table1[[#This Row],[Prix_Unitaire_HT]]</f>
        <v>58.6</v>
      </c>
    </row>
    <row r="425" spans="1:9" x14ac:dyDescent="0.25">
      <c r="A425" t="s">
        <v>585</v>
      </c>
      <c r="B425" t="s">
        <v>582</v>
      </c>
      <c r="C425" s="2" t="str">
        <f t="shared" si="9"/>
        <v>mai</v>
      </c>
      <c r="D425" t="s">
        <v>69</v>
      </c>
      <c r="E425" t="s">
        <v>1586</v>
      </c>
      <c r="F425">
        <v>12</v>
      </c>
      <c r="G425" t="s">
        <v>43</v>
      </c>
      <c r="H425">
        <v>4.04</v>
      </c>
      <c r="I425">
        <f>Table1[[#This Row],[Quantité corrigé]]*Table1[[#This Row],[Prix_Unitaire_HT]]</f>
        <v>48.480000000000004</v>
      </c>
    </row>
    <row r="426" spans="1:9" x14ac:dyDescent="0.25">
      <c r="A426" t="s">
        <v>586</v>
      </c>
      <c r="B426" t="s">
        <v>587</v>
      </c>
      <c r="C426" s="2" t="str">
        <f t="shared" si="9"/>
        <v>mai</v>
      </c>
      <c r="D426" t="s">
        <v>19</v>
      </c>
      <c r="E426" t="s">
        <v>1580</v>
      </c>
      <c r="F426">
        <v>4</v>
      </c>
      <c r="G426" t="s">
        <v>21</v>
      </c>
      <c r="H426">
        <v>4.3099999999999996</v>
      </c>
      <c r="I426">
        <f>Table1[[#This Row],[Quantité corrigé]]*Table1[[#This Row],[Prix_Unitaire_HT]]</f>
        <v>17.239999999999998</v>
      </c>
    </row>
    <row r="427" spans="1:9" x14ac:dyDescent="0.25">
      <c r="A427" t="s">
        <v>588</v>
      </c>
      <c r="B427" t="s">
        <v>587</v>
      </c>
      <c r="C427" s="2" t="str">
        <f t="shared" si="9"/>
        <v>mai</v>
      </c>
      <c r="D427" t="s">
        <v>19</v>
      </c>
      <c r="E427" t="s">
        <v>1581</v>
      </c>
      <c r="F427">
        <v>10</v>
      </c>
      <c r="G427" t="s">
        <v>25</v>
      </c>
      <c r="H427">
        <v>22.61</v>
      </c>
      <c r="I427">
        <f>Table1[[#This Row],[Quantité corrigé]]*Table1[[#This Row],[Prix_Unitaire_HT]]</f>
        <v>226.1</v>
      </c>
    </row>
    <row r="428" spans="1:9" x14ac:dyDescent="0.25">
      <c r="A428" t="s">
        <v>589</v>
      </c>
      <c r="B428" t="s">
        <v>587</v>
      </c>
      <c r="C428" s="2" t="str">
        <f t="shared" si="9"/>
        <v>mai</v>
      </c>
      <c r="D428" t="s">
        <v>19</v>
      </c>
      <c r="E428" t="s">
        <v>1582</v>
      </c>
      <c r="F428">
        <v>10</v>
      </c>
      <c r="G428" t="s">
        <v>29</v>
      </c>
      <c r="H428">
        <v>10.39</v>
      </c>
      <c r="I428">
        <f>Table1[[#This Row],[Quantité corrigé]]*Table1[[#This Row],[Prix_Unitaire_HT]]</f>
        <v>103.9</v>
      </c>
    </row>
    <row r="429" spans="1:9" x14ac:dyDescent="0.25">
      <c r="A429" t="s">
        <v>590</v>
      </c>
      <c r="B429" t="s">
        <v>587</v>
      </c>
      <c r="C429" s="2" t="str">
        <f t="shared" si="9"/>
        <v>mai</v>
      </c>
      <c r="D429" t="s">
        <v>50</v>
      </c>
      <c r="E429" t="s">
        <v>1587</v>
      </c>
      <c r="F429">
        <v>3</v>
      </c>
      <c r="G429" t="s">
        <v>52</v>
      </c>
      <c r="H429">
        <v>18.97</v>
      </c>
      <c r="I429">
        <f>Table1[[#This Row],[Quantité corrigé]]*Table1[[#This Row],[Prix_Unitaire_HT]]</f>
        <v>56.91</v>
      </c>
    </row>
    <row r="430" spans="1:9" x14ac:dyDescent="0.25">
      <c r="A430" t="s">
        <v>591</v>
      </c>
      <c r="B430" t="s">
        <v>587</v>
      </c>
      <c r="C430" s="2" t="str">
        <f t="shared" si="9"/>
        <v>mai</v>
      </c>
      <c r="D430" t="s">
        <v>195</v>
      </c>
      <c r="E430" t="s">
        <v>1588</v>
      </c>
      <c r="F430">
        <v>6</v>
      </c>
      <c r="G430" t="s">
        <v>17</v>
      </c>
      <c r="H430">
        <v>8.44</v>
      </c>
      <c r="I430">
        <f>Table1[[#This Row],[Quantité corrigé]]*Table1[[#This Row],[Prix_Unitaire_HT]]</f>
        <v>50.64</v>
      </c>
    </row>
    <row r="431" spans="1:9" x14ac:dyDescent="0.25">
      <c r="A431" t="s">
        <v>592</v>
      </c>
      <c r="B431" t="s">
        <v>593</v>
      </c>
      <c r="C431" s="2" t="str">
        <f t="shared" si="9"/>
        <v>mai</v>
      </c>
      <c r="D431" t="s">
        <v>61</v>
      </c>
      <c r="E431" t="s">
        <v>1577</v>
      </c>
      <c r="F431">
        <v>3</v>
      </c>
      <c r="G431" t="s">
        <v>11</v>
      </c>
      <c r="H431">
        <v>14.47</v>
      </c>
      <c r="I431">
        <f>Table1[[#This Row],[Quantité corrigé]]*Table1[[#This Row],[Prix_Unitaire_HT]]</f>
        <v>43.410000000000004</v>
      </c>
    </row>
    <row r="432" spans="1:9" x14ac:dyDescent="0.25">
      <c r="A432" t="s">
        <v>594</v>
      </c>
      <c r="B432" t="s">
        <v>593</v>
      </c>
      <c r="C432" s="2" t="str">
        <f t="shared" si="9"/>
        <v>mai</v>
      </c>
      <c r="D432" t="s">
        <v>61</v>
      </c>
      <c r="E432" t="s">
        <v>1578</v>
      </c>
      <c r="F432">
        <v>5</v>
      </c>
      <c r="G432" t="s">
        <v>11</v>
      </c>
      <c r="H432">
        <v>13.78</v>
      </c>
      <c r="I432">
        <f>Table1[[#This Row],[Quantité corrigé]]*Table1[[#This Row],[Prix_Unitaire_HT]]</f>
        <v>68.899999999999991</v>
      </c>
    </row>
    <row r="433" spans="1:9" x14ac:dyDescent="0.25">
      <c r="A433" t="s">
        <v>595</v>
      </c>
      <c r="B433" t="s">
        <v>593</v>
      </c>
      <c r="C433" s="2" t="str">
        <f t="shared" si="9"/>
        <v>mai</v>
      </c>
      <c r="D433" t="s">
        <v>61</v>
      </c>
      <c r="E433" t="s">
        <v>1579</v>
      </c>
      <c r="F433">
        <v>3</v>
      </c>
      <c r="G433" t="s">
        <v>17</v>
      </c>
      <c r="H433">
        <v>1.18</v>
      </c>
      <c r="I433">
        <f>Table1[[#This Row],[Quantité corrigé]]*Table1[[#This Row],[Prix_Unitaire_HT]]</f>
        <v>3.54</v>
      </c>
    </row>
    <row r="434" spans="1:9" x14ac:dyDescent="0.25">
      <c r="A434" t="s">
        <v>596</v>
      </c>
      <c r="B434" t="s">
        <v>597</v>
      </c>
      <c r="C434" s="2" t="str">
        <f t="shared" si="9"/>
        <v>mai</v>
      </c>
      <c r="D434" t="s">
        <v>66</v>
      </c>
      <c r="E434" t="s">
        <v>1583</v>
      </c>
      <c r="F434">
        <v>8</v>
      </c>
      <c r="G434" t="s">
        <v>17</v>
      </c>
      <c r="H434">
        <v>10.17</v>
      </c>
      <c r="I434">
        <f>Table1[[#This Row],[Quantité corrigé]]*Table1[[#This Row],[Prix_Unitaire_HT]]</f>
        <v>81.36</v>
      </c>
    </row>
    <row r="435" spans="1:9" x14ac:dyDescent="0.25">
      <c r="A435" t="s">
        <v>598</v>
      </c>
      <c r="B435" t="s">
        <v>597</v>
      </c>
      <c r="C435" s="2" t="str">
        <f t="shared" si="9"/>
        <v>mai</v>
      </c>
      <c r="D435" t="s">
        <v>66</v>
      </c>
      <c r="E435" t="s">
        <v>1584</v>
      </c>
      <c r="F435">
        <v>6</v>
      </c>
      <c r="G435" t="s">
        <v>17</v>
      </c>
      <c r="H435">
        <v>7.49</v>
      </c>
      <c r="I435">
        <f>Table1[[#This Row],[Quantité corrigé]]*Table1[[#This Row],[Prix_Unitaire_HT]]</f>
        <v>44.94</v>
      </c>
    </row>
    <row r="436" spans="1:9" x14ac:dyDescent="0.25">
      <c r="A436" t="s">
        <v>599</v>
      </c>
      <c r="B436" t="s">
        <v>597</v>
      </c>
      <c r="C436" s="2" t="str">
        <f t="shared" si="9"/>
        <v>mai</v>
      </c>
      <c r="D436" t="s">
        <v>69</v>
      </c>
      <c r="E436" t="s">
        <v>1585</v>
      </c>
      <c r="F436">
        <v>5</v>
      </c>
      <c r="G436" t="s">
        <v>39</v>
      </c>
      <c r="H436">
        <v>5.86</v>
      </c>
      <c r="I436">
        <f>Table1[[#This Row],[Quantité corrigé]]*Table1[[#This Row],[Prix_Unitaire_HT]]</f>
        <v>29.3</v>
      </c>
    </row>
    <row r="437" spans="1:9" x14ac:dyDescent="0.25">
      <c r="A437" t="s">
        <v>600</v>
      </c>
      <c r="B437" t="s">
        <v>597</v>
      </c>
      <c r="C437" s="2" t="str">
        <f t="shared" si="9"/>
        <v>mai</v>
      </c>
      <c r="D437" t="s">
        <v>69</v>
      </c>
      <c r="E437" t="s">
        <v>1586</v>
      </c>
      <c r="F437">
        <v>12</v>
      </c>
      <c r="G437" t="s">
        <v>43</v>
      </c>
      <c r="H437">
        <v>4.01</v>
      </c>
      <c r="I437">
        <f>Table1[[#This Row],[Quantité corrigé]]*Table1[[#This Row],[Prix_Unitaire_HT]]</f>
        <v>48.12</v>
      </c>
    </row>
    <row r="438" spans="1:9" x14ac:dyDescent="0.25">
      <c r="A438" t="s">
        <v>601</v>
      </c>
      <c r="B438" t="s">
        <v>602</v>
      </c>
      <c r="C438" s="2" t="str">
        <f t="shared" si="9"/>
        <v>mai</v>
      </c>
      <c r="D438" t="s">
        <v>195</v>
      </c>
      <c r="E438" t="s">
        <v>1588</v>
      </c>
      <c r="F438">
        <v>8</v>
      </c>
      <c r="G438" t="s">
        <v>17</v>
      </c>
      <c r="H438">
        <v>8.83</v>
      </c>
      <c r="I438">
        <f>Table1[[#This Row],[Quantité corrigé]]*Table1[[#This Row],[Prix_Unitaire_HT]]</f>
        <v>70.64</v>
      </c>
    </row>
    <row r="439" spans="1:9" x14ac:dyDescent="0.25">
      <c r="A439" t="s">
        <v>603</v>
      </c>
      <c r="B439" t="s">
        <v>604</v>
      </c>
      <c r="C439" s="2" t="str">
        <f t="shared" si="9"/>
        <v>mai</v>
      </c>
      <c r="D439" t="s">
        <v>61</v>
      </c>
      <c r="E439" t="s">
        <v>1577</v>
      </c>
      <c r="F439">
        <v>5</v>
      </c>
      <c r="G439" t="s">
        <v>11</v>
      </c>
      <c r="H439">
        <v>14.74</v>
      </c>
      <c r="I439">
        <f>Table1[[#This Row],[Quantité corrigé]]*Table1[[#This Row],[Prix_Unitaire_HT]]</f>
        <v>73.7</v>
      </c>
    </row>
    <row r="440" spans="1:9" x14ac:dyDescent="0.25">
      <c r="A440" t="s">
        <v>605</v>
      </c>
      <c r="B440" t="s">
        <v>604</v>
      </c>
      <c r="C440" s="2" t="str">
        <f t="shared" si="9"/>
        <v>mai</v>
      </c>
      <c r="D440" t="s">
        <v>61</v>
      </c>
      <c r="E440" t="s">
        <v>1578</v>
      </c>
      <c r="F440">
        <v>6</v>
      </c>
      <c r="G440" t="s">
        <v>11</v>
      </c>
      <c r="H440">
        <v>13.65</v>
      </c>
      <c r="I440">
        <f>Table1[[#This Row],[Quantité corrigé]]*Table1[[#This Row],[Prix_Unitaire_HT]]</f>
        <v>81.900000000000006</v>
      </c>
    </row>
    <row r="441" spans="1:9" x14ac:dyDescent="0.25">
      <c r="A441" t="s">
        <v>606</v>
      </c>
      <c r="B441" t="s">
        <v>604</v>
      </c>
      <c r="C441" s="2" t="str">
        <f t="shared" si="9"/>
        <v>mai</v>
      </c>
      <c r="D441" t="s">
        <v>61</v>
      </c>
      <c r="E441" t="s">
        <v>1579</v>
      </c>
      <c r="F441">
        <v>5</v>
      </c>
      <c r="G441" t="s">
        <v>17</v>
      </c>
      <c r="H441">
        <v>1.2</v>
      </c>
      <c r="I441">
        <f>Table1[[#This Row],[Quantité corrigé]]*Table1[[#This Row],[Prix_Unitaire_HT]]</f>
        <v>6</v>
      </c>
    </row>
    <row r="442" spans="1:9" x14ac:dyDescent="0.25">
      <c r="A442" t="s">
        <v>607</v>
      </c>
      <c r="B442" t="s">
        <v>604</v>
      </c>
      <c r="C442" s="2" t="str">
        <f t="shared" si="9"/>
        <v>mai</v>
      </c>
      <c r="D442" t="s">
        <v>19</v>
      </c>
      <c r="E442" t="s">
        <v>1580</v>
      </c>
      <c r="F442">
        <v>4</v>
      </c>
      <c r="G442" t="s">
        <v>21</v>
      </c>
      <c r="H442">
        <v>4.3099999999999996</v>
      </c>
      <c r="I442">
        <f>Table1[[#This Row],[Quantité corrigé]]*Table1[[#This Row],[Prix_Unitaire_HT]]</f>
        <v>17.239999999999998</v>
      </c>
    </row>
    <row r="443" spans="1:9" x14ac:dyDescent="0.25">
      <c r="A443" t="s">
        <v>608</v>
      </c>
      <c r="B443" t="s">
        <v>604</v>
      </c>
      <c r="C443" s="2" t="str">
        <f t="shared" si="9"/>
        <v>mai</v>
      </c>
      <c r="D443" t="s">
        <v>19</v>
      </c>
      <c r="E443" t="s">
        <v>1581</v>
      </c>
      <c r="F443">
        <v>6</v>
      </c>
      <c r="G443" t="s">
        <v>25</v>
      </c>
      <c r="H443">
        <v>23.67</v>
      </c>
      <c r="I443">
        <f>Table1[[#This Row],[Quantité corrigé]]*Table1[[#This Row],[Prix_Unitaire_HT]]</f>
        <v>142.02000000000001</v>
      </c>
    </row>
    <row r="444" spans="1:9" x14ac:dyDescent="0.25">
      <c r="A444" t="s">
        <v>609</v>
      </c>
      <c r="B444" t="s">
        <v>604</v>
      </c>
      <c r="C444" s="2" t="str">
        <f t="shared" si="9"/>
        <v>mai</v>
      </c>
      <c r="D444" t="s">
        <v>19</v>
      </c>
      <c r="E444" t="s">
        <v>1582</v>
      </c>
      <c r="F444">
        <v>10</v>
      </c>
      <c r="G444" t="s">
        <v>29</v>
      </c>
      <c r="H444">
        <v>9.5299999999999994</v>
      </c>
      <c r="I444">
        <f>Table1[[#This Row],[Quantité corrigé]]*Table1[[#This Row],[Prix_Unitaire_HT]]</f>
        <v>95.3</v>
      </c>
    </row>
    <row r="445" spans="1:9" x14ac:dyDescent="0.25">
      <c r="A445" t="s">
        <v>610</v>
      </c>
      <c r="B445" t="s">
        <v>611</v>
      </c>
      <c r="C445" s="2" t="str">
        <f t="shared" si="9"/>
        <v>mai</v>
      </c>
      <c r="D445" t="s">
        <v>66</v>
      </c>
      <c r="E445" t="s">
        <v>1583</v>
      </c>
      <c r="F445">
        <v>5</v>
      </c>
      <c r="G445" t="s">
        <v>17</v>
      </c>
      <c r="H445">
        <v>8.43</v>
      </c>
      <c r="I445">
        <f>Table1[[#This Row],[Quantité corrigé]]*Table1[[#This Row],[Prix_Unitaire_HT]]</f>
        <v>42.15</v>
      </c>
    </row>
    <row r="446" spans="1:9" x14ac:dyDescent="0.25">
      <c r="A446" t="s">
        <v>612</v>
      </c>
      <c r="B446" t="s">
        <v>611</v>
      </c>
      <c r="C446" s="2" t="str">
        <f t="shared" si="9"/>
        <v>mai</v>
      </c>
      <c r="D446" t="s">
        <v>66</v>
      </c>
      <c r="E446" t="s">
        <v>1584</v>
      </c>
      <c r="F446">
        <v>6</v>
      </c>
      <c r="G446" t="s">
        <v>17</v>
      </c>
      <c r="H446">
        <v>6.99</v>
      </c>
      <c r="I446">
        <f>Table1[[#This Row],[Quantité corrigé]]*Table1[[#This Row],[Prix_Unitaire_HT]]</f>
        <v>41.94</v>
      </c>
    </row>
    <row r="447" spans="1:9" x14ac:dyDescent="0.25">
      <c r="A447" t="s">
        <v>613</v>
      </c>
      <c r="B447" t="s">
        <v>611</v>
      </c>
      <c r="C447" s="2" t="str">
        <f t="shared" si="9"/>
        <v>mai</v>
      </c>
      <c r="D447" t="s">
        <v>69</v>
      </c>
      <c r="E447" t="s">
        <v>1585</v>
      </c>
      <c r="F447">
        <v>12</v>
      </c>
      <c r="G447" t="s">
        <v>39</v>
      </c>
      <c r="H447">
        <v>5.83</v>
      </c>
      <c r="I447">
        <f>Table1[[#This Row],[Quantité corrigé]]*Table1[[#This Row],[Prix_Unitaire_HT]]</f>
        <v>69.960000000000008</v>
      </c>
    </row>
    <row r="448" spans="1:9" x14ac:dyDescent="0.25">
      <c r="A448" t="s">
        <v>614</v>
      </c>
      <c r="B448" t="s">
        <v>611</v>
      </c>
      <c r="C448" s="2" t="str">
        <f t="shared" si="9"/>
        <v>mai</v>
      </c>
      <c r="D448" t="s">
        <v>69</v>
      </c>
      <c r="E448" t="s">
        <v>1586</v>
      </c>
      <c r="F448">
        <v>8</v>
      </c>
      <c r="G448" t="s">
        <v>43</v>
      </c>
      <c r="H448">
        <v>3.99</v>
      </c>
      <c r="I448">
        <f>Table1[[#This Row],[Quantité corrigé]]*Table1[[#This Row],[Prix_Unitaire_HT]]</f>
        <v>31.92</v>
      </c>
    </row>
    <row r="449" spans="1:9" x14ac:dyDescent="0.25">
      <c r="A449" t="s">
        <v>615</v>
      </c>
      <c r="B449" t="s">
        <v>616</v>
      </c>
      <c r="C449" s="2" t="str">
        <f t="shared" si="9"/>
        <v>mai</v>
      </c>
      <c r="D449" t="s">
        <v>19</v>
      </c>
      <c r="E449" t="s">
        <v>1580</v>
      </c>
      <c r="F449">
        <v>8</v>
      </c>
      <c r="G449" t="s">
        <v>21</v>
      </c>
      <c r="H449">
        <v>4.28</v>
      </c>
      <c r="I449">
        <f>Table1[[#This Row],[Quantité corrigé]]*Table1[[#This Row],[Prix_Unitaire_HT]]</f>
        <v>34.24</v>
      </c>
    </row>
    <row r="450" spans="1:9" x14ac:dyDescent="0.25">
      <c r="A450" t="s">
        <v>617</v>
      </c>
      <c r="B450" t="s">
        <v>616</v>
      </c>
      <c r="C450" s="2" t="str">
        <f t="shared" ref="C450:C513" si="10">TEXT(DATE(2024,MID(B450,4,2),_xlfn.TEXTBEFORE(B450,"/",1)),"mmmm")</f>
        <v>mai</v>
      </c>
      <c r="D450" t="s">
        <v>19</v>
      </c>
      <c r="E450" t="s">
        <v>1581</v>
      </c>
      <c r="F450">
        <v>8</v>
      </c>
      <c r="G450" t="s">
        <v>25</v>
      </c>
      <c r="H450">
        <v>23.51</v>
      </c>
      <c r="I450">
        <f>Table1[[#This Row],[Quantité corrigé]]*Table1[[#This Row],[Prix_Unitaire_HT]]</f>
        <v>188.08</v>
      </c>
    </row>
    <row r="451" spans="1:9" x14ac:dyDescent="0.25">
      <c r="A451" t="s">
        <v>618</v>
      </c>
      <c r="B451" t="s">
        <v>616</v>
      </c>
      <c r="C451" s="2" t="str">
        <f t="shared" si="10"/>
        <v>mai</v>
      </c>
      <c r="D451" t="s">
        <v>19</v>
      </c>
      <c r="E451" t="s">
        <v>1582</v>
      </c>
      <c r="F451">
        <v>6</v>
      </c>
      <c r="G451" t="s">
        <v>29</v>
      </c>
      <c r="H451">
        <v>10.09</v>
      </c>
      <c r="I451">
        <f>Table1[[#This Row],[Quantité corrigé]]*Table1[[#This Row],[Prix_Unitaire_HT]]</f>
        <v>60.54</v>
      </c>
    </row>
    <row r="452" spans="1:9" x14ac:dyDescent="0.25">
      <c r="A452" t="s">
        <v>619</v>
      </c>
      <c r="B452" t="s">
        <v>616</v>
      </c>
      <c r="C452" s="2" t="str">
        <f t="shared" si="10"/>
        <v>mai</v>
      </c>
      <c r="D452" t="s">
        <v>50</v>
      </c>
      <c r="E452" t="s">
        <v>1587</v>
      </c>
      <c r="F452">
        <v>2</v>
      </c>
      <c r="G452" t="s">
        <v>52</v>
      </c>
      <c r="H452">
        <v>18.690000000000001</v>
      </c>
      <c r="I452">
        <f>Table1[[#This Row],[Quantité corrigé]]*Table1[[#This Row],[Prix_Unitaire_HT]]</f>
        <v>37.380000000000003</v>
      </c>
    </row>
    <row r="453" spans="1:9" x14ac:dyDescent="0.25">
      <c r="A453" t="s">
        <v>620</v>
      </c>
      <c r="B453" t="s">
        <v>616</v>
      </c>
      <c r="C453" s="2" t="str">
        <f t="shared" si="10"/>
        <v>mai</v>
      </c>
      <c r="D453" t="s">
        <v>195</v>
      </c>
      <c r="E453" t="s">
        <v>1588</v>
      </c>
      <c r="F453">
        <v>6</v>
      </c>
      <c r="G453" t="s">
        <v>17</v>
      </c>
      <c r="H453">
        <v>9.4600000000000009</v>
      </c>
      <c r="I453">
        <f>Table1[[#This Row],[Quantité corrigé]]*Table1[[#This Row],[Prix_Unitaire_HT]]</f>
        <v>56.760000000000005</v>
      </c>
    </row>
    <row r="454" spans="1:9" x14ac:dyDescent="0.25">
      <c r="A454" t="s">
        <v>621</v>
      </c>
      <c r="B454" t="s">
        <v>622</v>
      </c>
      <c r="C454" s="2" t="str">
        <f t="shared" si="10"/>
        <v>mai</v>
      </c>
      <c r="D454" t="s">
        <v>61</v>
      </c>
      <c r="E454" t="s">
        <v>1577</v>
      </c>
      <c r="F454">
        <v>5</v>
      </c>
      <c r="G454" t="s">
        <v>11</v>
      </c>
      <c r="H454">
        <v>14.59</v>
      </c>
      <c r="I454">
        <f>Table1[[#This Row],[Quantité corrigé]]*Table1[[#This Row],[Prix_Unitaire_HT]]</f>
        <v>72.95</v>
      </c>
    </row>
    <row r="455" spans="1:9" x14ac:dyDescent="0.25">
      <c r="A455" t="s">
        <v>623</v>
      </c>
      <c r="B455" t="s">
        <v>622</v>
      </c>
      <c r="C455" s="2" t="str">
        <f t="shared" si="10"/>
        <v>mai</v>
      </c>
      <c r="D455" t="s">
        <v>61</v>
      </c>
      <c r="E455" t="s">
        <v>1578</v>
      </c>
      <c r="F455">
        <v>5</v>
      </c>
      <c r="G455" t="s">
        <v>11</v>
      </c>
      <c r="H455">
        <v>12.95</v>
      </c>
      <c r="I455">
        <f>Table1[[#This Row],[Quantité corrigé]]*Table1[[#This Row],[Prix_Unitaire_HT]]</f>
        <v>64.75</v>
      </c>
    </row>
    <row r="456" spans="1:9" x14ac:dyDescent="0.25">
      <c r="A456" t="s">
        <v>624</v>
      </c>
      <c r="B456" t="s">
        <v>622</v>
      </c>
      <c r="C456" s="2" t="str">
        <f t="shared" si="10"/>
        <v>mai</v>
      </c>
      <c r="D456" t="s">
        <v>61</v>
      </c>
      <c r="E456" t="s">
        <v>1579</v>
      </c>
      <c r="F456">
        <v>6</v>
      </c>
      <c r="G456" t="s">
        <v>17</v>
      </c>
      <c r="H456">
        <v>1.25</v>
      </c>
      <c r="I456">
        <f>Table1[[#This Row],[Quantité corrigé]]*Table1[[#This Row],[Prix_Unitaire_HT]]</f>
        <v>7.5</v>
      </c>
    </row>
    <row r="457" spans="1:9" x14ac:dyDescent="0.25">
      <c r="A457" t="s">
        <v>625</v>
      </c>
      <c r="B457" t="s">
        <v>626</v>
      </c>
      <c r="C457" s="2" t="str">
        <f t="shared" si="10"/>
        <v>mai</v>
      </c>
      <c r="D457" t="s">
        <v>66</v>
      </c>
      <c r="E457" t="s">
        <v>1583</v>
      </c>
      <c r="F457">
        <v>8</v>
      </c>
      <c r="G457" t="s">
        <v>17</v>
      </c>
      <c r="H457">
        <v>9.02</v>
      </c>
      <c r="I457">
        <f>Table1[[#This Row],[Quantité corrigé]]*Table1[[#This Row],[Prix_Unitaire_HT]]</f>
        <v>72.16</v>
      </c>
    </row>
    <row r="458" spans="1:9" x14ac:dyDescent="0.25">
      <c r="A458" t="s">
        <v>627</v>
      </c>
      <c r="B458" t="s">
        <v>626</v>
      </c>
      <c r="C458" s="2" t="str">
        <f t="shared" si="10"/>
        <v>mai</v>
      </c>
      <c r="D458" t="s">
        <v>66</v>
      </c>
      <c r="E458" t="s">
        <v>1584</v>
      </c>
      <c r="F458">
        <v>10</v>
      </c>
      <c r="G458" t="s">
        <v>17</v>
      </c>
      <c r="H458">
        <v>7.02</v>
      </c>
      <c r="I458">
        <f>Table1[[#This Row],[Quantité corrigé]]*Table1[[#This Row],[Prix_Unitaire_HT]]</f>
        <v>70.199999999999989</v>
      </c>
    </row>
    <row r="459" spans="1:9" x14ac:dyDescent="0.25">
      <c r="A459" t="s">
        <v>628</v>
      </c>
      <c r="B459" t="s">
        <v>626</v>
      </c>
      <c r="C459" s="2" t="str">
        <f t="shared" si="10"/>
        <v>mai</v>
      </c>
      <c r="D459" t="s">
        <v>69</v>
      </c>
      <c r="E459" t="s">
        <v>1585</v>
      </c>
      <c r="F459">
        <v>10</v>
      </c>
      <c r="G459" t="s">
        <v>39</v>
      </c>
      <c r="H459">
        <v>5.76</v>
      </c>
      <c r="I459">
        <f>Table1[[#This Row],[Quantité corrigé]]*Table1[[#This Row],[Prix_Unitaire_HT]]</f>
        <v>57.599999999999994</v>
      </c>
    </row>
    <row r="460" spans="1:9" x14ac:dyDescent="0.25">
      <c r="A460" t="s">
        <v>629</v>
      </c>
      <c r="B460" t="s">
        <v>626</v>
      </c>
      <c r="C460" s="2" t="str">
        <f t="shared" si="10"/>
        <v>mai</v>
      </c>
      <c r="D460" t="s">
        <v>69</v>
      </c>
      <c r="E460" t="s">
        <v>1586</v>
      </c>
      <c r="F460">
        <v>8</v>
      </c>
      <c r="G460" t="s">
        <v>43</v>
      </c>
      <c r="H460">
        <v>3.85</v>
      </c>
      <c r="I460">
        <f>Table1[[#This Row],[Quantité corrigé]]*Table1[[#This Row],[Prix_Unitaire_HT]]</f>
        <v>30.8</v>
      </c>
    </row>
    <row r="461" spans="1:9" x14ac:dyDescent="0.25">
      <c r="A461" t="s">
        <v>630</v>
      </c>
      <c r="B461" t="s">
        <v>631</v>
      </c>
      <c r="C461" s="2" t="str">
        <f t="shared" si="10"/>
        <v>mai</v>
      </c>
      <c r="D461" t="s">
        <v>195</v>
      </c>
      <c r="E461" t="s">
        <v>1588</v>
      </c>
      <c r="F461">
        <v>4</v>
      </c>
      <c r="G461" t="s">
        <v>17</v>
      </c>
      <c r="H461">
        <v>9.27</v>
      </c>
      <c r="I461">
        <f>Table1[[#This Row],[Quantité corrigé]]*Table1[[#This Row],[Prix_Unitaire_HT]]</f>
        <v>37.08</v>
      </c>
    </row>
    <row r="462" spans="1:9" x14ac:dyDescent="0.25">
      <c r="A462" t="s">
        <v>632</v>
      </c>
      <c r="B462" t="s">
        <v>633</v>
      </c>
      <c r="C462" s="2" t="str">
        <f t="shared" si="10"/>
        <v>mai</v>
      </c>
      <c r="D462" t="s">
        <v>61</v>
      </c>
      <c r="E462" t="s">
        <v>1577</v>
      </c>
      <c r="F462">
        <v>6</v>
      </c>
      <c r="G462" t="s">
        <v>11</v>
      </c>
      <c r="H462">
        <v>14.1</v>
      </c>
      <c r="I462">
        <f>Table1[[#This Row],[Quantité corrigé]]*Table1[[#This Row],[Prix_Unitaire_HT]]</f>
        <v>84.6</v>
      </c>
    </row>
    <row r="463" spans="1:9" x14ac:dyDescent="0.25">
      <c r="A463" t="s">
        <v>634</v>
      </c>
      <c r="B463" t="s">
        <v>633</v>
      </c>
      <c r="C463" s="2" t="str">
        <f t="shared" si="10"/>
        <v>mai</v>
      </c>
      <c r="D463" t="s">
        <v>61</v>
      </c>
      <c r="E463" t="s">
        <v>1578</v>
      </c>
      <c r="F463">
        <v>4</v>
      </c>
      <c r="G463" t="s">
        <v>11</v>
      </c>
      <c r="H463">
        <v>13.29</v>
      </c>
      <c r="I463">
        <f>Table1[[#This Row],[Quantité corrigé]]*Table1[[#This Row],[Prix_Unitaire_HT]]</f>
        <v>53.16</v>
      </c>
    </row>
    <row r="464" spans="1:9" x14ac:dyDescent="0.25">
      <c r="A464" t="s">
        <v>635</v>
      </c>
      <c r="B464" t="s">
        <v>633</v>
      </c>
      <c r="C464" s="2" t="str">
        <f t="shared" si="10"/>
        <v>mai</v>
      </c>
      <c r="D464" t="s">
        <v>61</v>
      </c>
      <c r="E464" t="s">
        <v>1579</v>
      </c>
      <c r="F464">
        <v>6</v>
      </c>
      <c r="G464" t="s">
        <v>17</v>
      </c>
      <c r="H464">
        <v>1.23</v>
      </c>
      <c r="I464">
        <f>Table1[[#This Row],[Quantité corrigé]]*Table1[[#This Row],[Prix_Unitaire_HT]]</f>
        <v>7.38</v>
      </c>
    </row>
    <row r="465" spans="1:9" x14ac:dyDescent="0.25">
      <c r="A465" t="s">
        <v>636</v>
      </c>
      <c r="B465" t="s">
        <v>633</v>
      </c>
      <c r="C465" s="2" t="str">
        <f t="shared" si="10"/>
        <v>mai</v>
      </c>
      <c r="D465" t="s">
        <v>19</v>
      </c>
      <c r="E465" t="s">
        <v>1580</v>
      </c>
      <c r="F465">
        <v>4</v>
      </c>
      <c r="G465" t="s">
        <v>21</v>
      </c>
      <c r="H465">
        <v>4.17</v>
      </c>
      <c r="I465">
        <f>Table1[[#This Row],[Quantité corrigé]]*Table1[[#This Row],[Prix_Unitaire_HT]]</f>
        <v>16.68</v>
      </c>
    </row>
    <row r="466" spans="1:9" x14ac:dyDescent="0.25">
      <c r="A466" t="s">
        <v>637</v>
      </c>
      <c r="B466" t="s">
        <v>633</v>
      </c>
      <c r="C466" s="2" t="str">
        <f t="shared" si="10"/>
        <v>mai</v>
      </c>
      <c r="D466" t="s">
        <v>19</v>
      </c>
      <c r="E466" t="s">
        <v>1581</v>
      </c>
      <c r="F466">
        <v>6</v>
      </c>
      <c r="G466" t="s">
        <v>25</v>
      </c>
      <c r="H466">
        <v>22.77</v>
      </c>
      <c r="I466">
        <f>Table1[[#This Row],[Quantité corrigé]]*Table1[[#This Row],[Prix_Unitaire_HT]]</f>
        <v>136.62</v>
      </c>
    </row>
    <row r="467" spans="1:9" x14ac:dyDescent="0.25">
      <c r="A467" t="s">
        <v>638</v>
      </c>
      <c r="B467" t="s">
        <v>633</v>
      </c>
      <c r="C467" s="2" t="str">
        <f t="shared" si="10"/>
        <v>mai</v>
      </c>
      <c r="D467" t="s">
        <v>19</v>
      </c>
      <c r="E467" t="s">
        <v>1582</v>
      </c>
      <c r="F467">
        <v>6</v>
      </c>
      <c r="G467" t="s">
        <v>29</v>
      </c>
      <c r="H467">
        <v>10.47</v>
      </c>
      <c r="I467">
        <f>Table1[[#This Row],[Quantité corrigé]]*Table1[[#This Row],[Prix_Unitaire_HT]]</f>
        <v>62.820000000000007</v>
      </c>
    </row>
    <row r="468" spans="1:9" x14ac:dyDescent="0.25">
      <c r="A468" t="s">
        <v>639</v>
      </c>
      <c r="B468" t="s">
        <v>640</v>
      </c>
      <c r="C468" s="2" t="str">
        <f t="shared" si="10"/>
        <v>mai</v>
      </c>
      <c r="D468" t="s">
        <v>66</v>
      </c>
      <c r="E468" t="s">
        <v>1583</v>
      </c>
      <c r="F468">
        <v>5</v>
      </c>
      <c r="G468" t="s">
        <v>17</v>
      </c>
      <c r="H468">
        <v>10.49</v>
      </c>
      <c r="I468">
        <f>Table1[[#This Row],[Quantité corrigé]]*Table1[[#This Row],[Prix_Unitaire_HT]]</f>
        <v>52.45</v>
      </c>
    </row>
    <row r="469" spans="1:9" x14ac:dyDescent="0.25">
      <c r="A469" t="s">
        <v>641</v>
      </c>
      <c r="B469" t="s">
        <v>640</v>
      </c>
      <c r="C469" s="2" t="str">
        <f t="shared" si="10"/>
        <v>mai</v>
      </c>
      <c r="D469" t="s">
        <v>66</v>
      </c>
      <c r="E469" t="s">
        <v>1584</v>
      </c>
      <c r="F469">
        <v>6</v>
      </c>
      <c r="G469" t="s">
        <v>17</v>
      </c>
      <c r="H469">
        <v>7.53</v>
      </c>
      <c r="I469">
        <f>Table1[[#This Row],[Quantité corrigé]]*Table1[[#This Row],[Prix_Unitaire_HT]]</f>
        <v>45.18</v>
      </c>
    </row>
    <row r="470" spans="1:9" x14ac:dyDescent="0.25">
      <c r="A470" t="s">
        <v>642</v>
      </c>
      <c r="B470" t="s">
        <v>640</v>
      </c>
      <c r="C470" s="2" t="str">
        <f t="shared" si="10"/>
        <v>mai</v>
      </c>
      <c r="D470" t="s">
        <v>69</v>
      </c>
      <c r="E470" t="s">
        <v>1585</v>
      </c>
      <c r="F470">
        <v>5</v>
      </c>
      <c r="G470" t="s">
        <v>39</v>
      </c>
      <c r="H470">
        <v>5.99</v>
      </c>
      <c r="I470">
        <f>Table1[[#This Row],[Quantité corrigé]]*Table1[[#This Row],[Prix_Unitaire_HT]]</f>
        <v>29.950000000000003</v>
      </c>
    </row>
    <row r="471" spans="1:9" x14ac:dyDescent="0.25">
      <c r="A471" t="s">
        <v>643</v>
      </c>
      <c r="B471" t="s">
        <v>640</v>
      </c>
      <c r="C471" s="2" t="str">
        <f t="shared" si="10"/>
        <v>mai</v>
      </c>
      <c r="D471" t="s">
        <v>69</v>
      </c>
      <c r="E471" t="s">
        <v>1586</v>
      </c>
      <c r="F471">
        <v>10</v>
      </c>
      <c r="G471" t="s">
        <v>43</v>
      </c>
      <c r="H471">
        <v>4.04</v>
      </c>
      <c r="I471">
        <f>Table1[[#This Row],[Quantité corrigé]]*Table1[[#This Row],[Prix_Unitaire_HT]]</f>
        <v>40.4</v>
      </c>
    </row>
    <row r="472" spans="1:9" x14ac:dyDescent="0.25">
      <c r="A472" t="s">
        <v>644</v>
      </c>
      <c r="B472" t="s">
        <v>645</v>
      </c>
      <c r="C472" s="2" t="str">
        <f t="shared" si="10"/>
        <v>mai</v>
      </c>
      <c r="D472" t="s">
        <v>19</v>
      </c>
      <c r="E472" t="s">
        <v>1580</v>
      </c>
      <c r="F472">
        <v>6</v>
      </c>
      <c r="G472" t="s">
        <v>21</v>
      </c>
      <c r="H472">
        <v>4.4800000000000004</v>
      </c>
      <c r="I472">
        <f>Table1[[#This Row],[Quantité corrigé]]*Table1[[#This Row],[Prix_Unitaire_HT]]</f>
        <v>26.880000000000003</v>
      </c>
    </row>
    <row r="473" spans="1:9" x14ac:dyDescent="0.25">
      <c r="A473" t="s">
        <v>646</v>
      </c>
      <c r="B473" t="s">
        <v>645</v>
      </c>
      <c r="C473" s="2" t="str">
        <f t="shared" si="10"/>
        <v>mai</v>
      </c>
      <c r="D473" t="s">
        <v>19</v>
      </c>
      <c r="E473" t="s">
        <v>1581</v>
      </c>
      <c r="F473">
        <v>4</v>
      </c>
      <c r="G473" t="s">
        <v>25</v>
      </c>
      <c r="H473">
        <v>21.68</v>
      </c>
      <c r="I473">
        <f>Table1[[#This Row],[Quantité corrigé]]*Table1[[#This Row],[Prix_Unitaire_HT]]</f>
        <v>86.72</v>
      </c>
    </row>
    <row r="474" spans="1:9" x14ac:dyDescent="0.25">
      <c r="A474" t="s">
        <v>647</v>
      </c>
      <c r="B474" t="s">
        <v>645</v>
      </c>
      <c r="C474" s="2" t="str">
        <f t="shared" si="10"/>
        <v>mai</v>
      </c>
      <c r="D474" t="s">
        <v>19</v>
      </c>
      <c r="E474" t="s">
        <v>1582</v>
      </c>
      <c r="F474">
        <v>8</v>
      </c>
      <c r="G474" t="s">
        <v>29</v>
      </c>
      <c r="H474">
        <v>10.14</v>
      </c>
      <c r="I474">
        <f>Table1[[#This Row],[Quantité corrigé]]*Table1[[#This Row],[Prix_Unitaire_HT]]</f>
        <v>81.12</v>
      </c>
    </row>
    <row r="475" spans="1:9" x14ac:dyDescent="0.25">
      <c r="A475" t="s">
        <v>648</v>
      </c>
      <c r="B475" t="s">
        <v>645</v>
      </c>
      <c r="C475" s="2" t="str">
        <f t="shared" si="10"/>
        <v>mai</v>
      </c>
      <c r="D475" t="s">
        <v>50</v>
      </c>
      <c r="E475" t="s">
        <v>1587</v>
      </c>
      <c r="F475">
        <v>4</v>
      </c>
      <c r="G475" t="s">
        <v>52</v>
      </c>
      <c r="H475">
        <v>19.079999999999998</v>
      </c>
      <c r="I475">
        <f>Table1[[#This Row],[Quantité corrigé]]*Table1[[#This Row],[Prix_Unitaire_HT]]</f>
        <v>76.319999999999993</v>
      </c>
    </row>
    <row r="476" spans="1:9" x14ac:dyDescent="0.25">
      <c r="A476" t="s">
        <v>649</v>
      </c>
      <c r="B476" t="s">
        <v>645</v>
      </c>
      <c r="C476" s="2" t="str">
        <f t="shared" si="10"/>
        <v>mai</v>
      </c>
      <c r="D476" t="s">
        <v>195</v>
      </c>
      <c r="E476" t="s">
        <v>1588</v>
      </c>
      <c r="F476">
        <v>10</v>
      </c>
      <c r="G476" t="s">
        <v>17</v>
      </c>
      <c r="H476">
        <v>8.6199999999999992</v>
      </c>
      <c r="I476">
        <f>Table1[[#This Row],[Quantité corrigé]]*Table1[[#This Row],[Prix_Unitaire_HT]]</f>
        <v>86.199999999999989</v>
      </c>
    </row>
    <row r="477" spans="1:9" x14ac:dyDescent="0.25">
      <c r="A477" t="s">
        <v>650</v>
      </c>
      <c r="B477" t="s">
        <v>651</v>
      </c>
      <c r="C477" s="2" t="str">
        <f t="shared" si="10"/>
        <v>mai</v>
      </c>
      <c r="D477" t="s">
        <v>61</v>
      </c>
      <c r="E477" t="s">
        <v>1577</v>
      </c>
      <c r="F477">
        <v>5</v>
      </c>
      <c r="G477" t="s">
        <v>11</v>
      </c>
      <c r="H477">
        <v>14.08</v>
      </c>
      <c r="I477">
        <f>Table1[[#This Row],[Quantité corrigé]]*Table1[[#This Row],[Prix_Unitaire_HT]]</f>
        <v>70.400000000000006</v>
      </c>
    </row>
    <row r="478" spans="1:9" x14ac:dyDescent="0.25">
      <c r="A478" t="s">
        <v>652</v>
      </c>
      <c r="B478" t="s">
        <v>651</v>
      </c>
      <c r="C478" s="2" t="str">
        <f t="shared" si="10"/>
        <v>mai</v>
      </c>
      <c r="D478" t="s">
        <v>61</v>
      </c>
      <c r="E478" t="s">
        <v>1578</v>
      </c>
      <c r="F478">
        <v>4</v>
      </c>
      <c r="G478" t="s">
        <v>11</v>
      </c>
      <c r="H478">
        <v>13.37</v>
      </c>
      <c r="I478">
        <f>Table1[[#This Row],[Quantité corrigé]]*Table1[[#This Row],[Prix_Unitaire_HT]]</f>
        <v>53.48</v>
      </c>
    </row>
    <row r="479" spans="1:9" x14ac:dyDescent="0.25">
      <c r="A479" t="s">
        <v>653</v>
      </c>
      <c r="B479" t="s">
        <v>651</v>
      </c>
      <c r="C479" s="2" t="str">
        <f t="shared" si="10"/>
        <v>mai</v>
      </c>
      <c r="D479" t="s">
        <v>61</v>
      </c>
      <c r="E479" t="s">
        <v>1579</v>
      </c>
      <c r="F479">
        <v>5</v>
      </c>
      <c r="G479" t="s">
        <v>17</v>
      </c>
      <c r="H479">
        <v>1.21</v>
      </c>
      <c r="I479">
        <f>Table1[[#This Row],[Quantité corrigé]]*Table1[[#This Row],[Prix_Unitaire_HT]]</f>
        <v>6.05</v>
      </c>
    </row>
    <row r="480" spans="1:9" x14ac:dyDescent="0.25">
      <c r="A480" t="s">
        <v>654</v>
      </c>
      <c r="B480" t="s">
        <v>655</v>
      </c>
      <c r="C480" s="2" t="str">
        <f t="shared" si="10"/>
        <v>mai</v>
      </c>
      <c r="D480" t="s">
        <v>66</v>
      </c>
      <c r="E480" t="s">
        <v>1583</v>
      </c>
      <c r="F480">
        <v>8</v>
      </c>
      <c r="G480" t="s">
        <v>17</v>
      </c>
      <c r="H480">
        <v>10.54</v>
      </c>
      <c r="I480">
        <f>Table1[[#This Row],[Quantité corrigé]]*Table1[[#This Row],[Prix_Unitaire_HT]]</f>
        <v>84.32</v>
      </c>
    </row>
    <row r="481" spans="1:9" x14ac:dyDescent="0.25">
      <c r="A481" t="s">
        <v>656</v>
      </c>
      <c r="B481" t="s">
        <v>655</v>
      </c>
      <c r="C481" s="2" t="str">
        <f t="shared" si="10"/>
        <v>mai</v>
      </c>
      <c r="D481" t="s">
        <v>66</v>
      </c>
      <c r="E481" t="s">
        <v>1584</v>
      </c>
      <c r="F481">
        <v>8</v>
      </c>
      <c r="G481" t="s">
        <v>17</v>
      </c>
      <c r="H481">
        <v>6.93</v>
      </c>
      <c r="I481">
        <f>Table1[[#This Row],[Quantité corrigé]]*Table1[[#This Row],[Prix_Unitaire_HT]]</f>
        <v>55.44</v>
      </c>
    </row>
    <row r="482" spans="1:9" x14ac:dyDescent="0.25">
      <c r="A482" t="s">
        <v>657</v>
      </c>
      <c r="B482" t="s">
        <v>655</v>
      </c>
      <c r="C482" s="2" t="str">
        <f t="shared" si="10"/>
        <v>mai</v>
      </c>
      <c r="D482" t="s">
        <v>69</v>
      </c>
      <c r="E482" t="s">
        <v>1585</v>
      </c>
      <c r="F482">
        <v>12</v>
      </c>
      <c r="G482" t="s">
        <v>39</v>
      </c>
      <c r="H482">
        <v>5.92</v>
      </c>
      <c r="I482">
        <f>Table1[[#This Row],[Quantité corrigé]]*Table1[[#This Row],[Prix_Unitaire_HT]]</f>
        <v>71.039999999999992</v>
      </c>
    </row>
    <row r="483" spans="1:9" x14ac:dyDescent="0.25">
      <c r="A483" t="s">
        <v>658</v>
      </c>
      <c r="B483" t="s">
        <v>655</v>
      </c>
      <c r="C483" s="2" t="str">
        <f t="shared" si="10"/>
        <v>mai</v>
      </c>
      <c r="D483" t="s">
        <v>69</v>
      </c>
      <c r="E483" t="s">
        <v>1586</v>
      </c>
      <c r="F483">
        <v>10</v>
      </c>
      <c r="G483" t="s">
        <v>43</v>
      </c>
      <c r="H483">
        <v>3.98</v>
      </c>
      <c r="I483">
        <f>Table1[[#This Row],[Quantité corrigé]]*Table1[[#This Row],[Prix_Unitaire_HT]]</f>
        <v>39.799999999999997</v>
      </c>
    </row>
    <row r="484" spans="1:9" x14ac:dyDescent="0.25">
      <c r="A484" t="s">
        <v>659</v>
      </c>
      <c r="B484" t="s">
        <v>660</v>
      </c>
      <c r="C484" s="2" t="str">
        <f t="shared" si="10"/>
        <v>mai</v>
      </c>
      <c r="D484" t="s">
        <v>195</v>
      </c>
      <c r="E484" t="s">
        <v>1588</v>
      </c>
      <c r="F484">
        <v>6</v>
      </c>
      <c r="G484" t="s">
        <v>17</v>
      </c>
      <c r="H484">
        <v>8.89</v>
      </c>
      <c r="I484">
        <f>Table1[[#This Row],[Quantité corrigé]]*Table1[[#This Row],[Prix_Unitaire_HT]]</f>
        <v>53.34</v>
      </c>
    </row>
    <row r="485" spans="1:9" x14ac:dyDescent="0.25">
      <c r="A485" t="s">
        <v>661</v>
      </c>
      <c r="B485" t="s">
        <v>662</v>
      </c>
      <c r="C485" s="2" t="str">
        <f t="shared" si="10"/>
        <v>mai</v>
      </c>
      <c r="D485" t="s">
        <v>61</v>
      </c>
      <c r="E485" t="s">
        <v>1577</v>
      </c>
      <c r="F485">
        <v>6</v>
      </c>
      <c r="G485" t="s">
        <v>11</v>
      </c>
      <c r="H485">
        <v>14.17</v>
      </c>
      <c r="I485">
        <f>Table1[[#This Row],[Quantité corrigé]]*Table1[[#This Row],[Prix_Unitaire_HT]]</f>
        <v>85.02</v>
      </c>
    </row>
    <row r="486" spans="1:9" x14ac:dyDescent="0.25">
      <c r="A486" t="s">
        <v>663</v>
      </c>
      <c r="B486" t="s">
        <v>662</v>
      </c>
      <c r="C486" s="2" t="str">
        <f t="shared" si="10"/>
        <v>mai</v>
      </c>
      <c r="D486" t="s">
        <v>61</v>
      </c>
      <c r="E486" t="s">
        <v>1578</v>
      </c>
      <c r="F486">
        <v>5</v>
      </c>
      <c r="G486" t="s">
        <v>11</v>
      </c>
      <c r="H486">
        <v>13.3</v>
      </c>
      <c r="I486">
        <f>Table1[[#This Row],[Quantité corrigé]]*Table1[[#This Row],[Prix_Unitaire_HT]]</f>
        <v>66.5</v>
      </c>
    </row>
    <row r="487" spans="1:9" x14ac:dyDescent="0.25">
      <c r="A487" t="s">
        <v>664</v>
      </c>
      <c r="B487" t="s">
        <v>662</v>
      </c>
      <c r="C487" s="2" t="str">
        <f t="shared" si="10"/>
        <v>mai</v>
      </c>
      <c r="D487" t="s">
        <v>61</v>
      </c>
      <c r="E487" t="s">
        <v>1579</v>
      </c>
      <c r="F487">
        <v>4</v>
      </c>
      <c r="G487" t="s">
        <v>17</v>
      </c>
      <c r="H487">
        <v>1.25</v>
      </c>
      <c r="I487">
        <f>Table1[[#This Row],[Quantité corrigé]]*Table1[[#This Row],[Prix_Unitaire_HT]]</f>
        <v>5</v>
      </c>
    </row>
    <row r="488" spans="1:9" x14ac:dyDescent="0.25">
      <c r="A488" t="s">
        <v>665</v>
      </c>
      <c r="B488" t="s">
        <v>662</v>
      </c>
      <c r="C488" s="2" t="str">
        <f t="shared" si="10"/>
        <v>mai</v>
      </c>
      <c r="D488" t="s">
        <v>19</v>
      </c>
      <c r="E488" t="s">
        <v>1580</v>
      </c>
      <c r="F488">
        <v>8</v>
      </c>
      <c r="G488" t="s">
        <v>21</v>
      </c>
      <c r="H488">
        <v>4.28</v>
      </c>
      <c r="I488">
        <f>Table1[[#This Row],[Quantité corrigé]]*Table1[[#This Row],[Prix_Unitaire_HT]]</f>
        <v>34.24</v>
      </c>
    </row>
    <row r="489" spans="1:9" x14ac:dyDescent="0.25">
      <c r="A489" t="s">
        <v>666</v>
      </c>
      <c r="B489" t="s">
        <v>662</v>
      </c>
      <c r="C489" s="2" t="str">
        <f t="shared" si="10"/>
        <v>mai</v>
      </c>
      <c r="D489" t="s">
        <v>19</v>
      </c>
      <c r="E489" t="s">
        <v>1581</v>
      </c>
      <c r="F489">
        <v>6</v>
      </c>
      <c r="G489" t="s">
        <v>25</v>
      </c>
      <c r="H489">
        <v>21.08</v>
      </c>
      <c r="I489">
        <f>Table1[[#This Row],[Quantité corrigé]]*Table1[[#This Row],[Prix_Unitaire_HT]]</f>
        <v>126.47999999999999</v>
      </c>
    </row>
    <row r="490" spans="1:9" x14ac:dyDescent="0.25">
      <c r="A490" t="s">
        <v>667</v>
      </c>
      <c r="B490" t="s">
        <v>662</v>
      </c>
      <c r="C490" s="2" t="str">
        <f t="shared" si="10"/>
        <v>mai</v>
      </c>
      <c r="D490" t="s">
        <v>19</v>
      </c>
      <c r="E490" t="s">
        <v>1582</v>
      </c>
      <c r="F490">
        <v>10</v>
      </c>
      <c r="G490" t="s">
        <v>29</v>
      </c>
      <c r="H490">
        <v>9.52</v>
      </c>
      <c r="I490">
        <f>Table1[[#This Row],[Quantité corrigé]]*Table1[[#This Row],[Prix_Unitaire_HT]]</f>
        <v>95.199999999999989</v>
      </c>
    </row>
    <row r="491" spans="1:9" x14ac:dyDescent="0.25">
      <c r="A491" t="s">
        <v>668</v>
      </c>
      <c r="B491" t="s">
        <v>669</v>
      </c>
      <c r="C491" s="2" t="str">
        <f t="shared" si="10"/>
        <v>mai</v>
      </c>
      <c r="D491" t="s">
        <v>66</v>
      </c>
      <c r="E491" t="s">
        <v>1583</v>
      </c>
      <c r="F491">
        <v>10</v>
      </c>
      <c r="G491" t="s">
        <v>17</v>
      </c>
      <c r="H491">
        <v>9.99</v>
      </c>
      <c r="I491">
        <f>Table1[[#This Row],[Quantité corrigé]]*Table1[[#This Row],[Prix_Unitaire_HT]]</f>
        <v>99.9</v>
      </c>
    </row>
    <row r="492" spans="1:9" x14ac:dyDescent="0.25">
      <c r="A492" t="s">
        <v>670</v>
      </c>
      <c r="B492" t="s">
        <v>669</v>
      </c>
      <c r="C492" s="2" t="str">
        <f t="shared" si="10"/>
        <v>mai</v>
      </c>
      <c r="D492" t="s">
        <v>66</v>
      </c>
      <c r="E492" t="s">
        <v>1584</v>
      </c>
      <c r="F492">
        <v>10</v>
      </c>
      <c r="G492" t="s">
        <v>17</v>
      </c>
      <c r="H492">
        <v>7.56</v>
      </c>
      <c r="I492">
        <f>Table1[[#This Row],[Quantité corrigé]]*Table1[[#This Row],[Prix_Unitaire_HT]]</f>
        <v>75.599999999999994</v>
      </c>
    </row>
    <row r="493" spans="1:9" x14ac:dyDescent="0.25">
      <c r="A493" t="s">
        <v>671</v>
      </c>
      <c r="B493" t="s">
        <v>669</v>
      </c>
      <c r="C493" s="2" t="str">
        <f t="shared" si="10"/>
        <v>mai</v>
      </c>
      <c r="D493" t="s">
        <v>69</v>
      </c>
      <c r="E493" t="s">
        <v>1585</v>
      </c>
      <c r="F493">
        <v>5</v>
      </c>
      <c r="G493" t="s">
        <v>39</v>
      </c>
      <c r="H493">
        <v>5.84</v>
      </c>
      <c r="I493">
        <f>Table1[[#This Row],[Quantité corrigé]]*Table1[[#This Row],[Prix_Unitaire_HT]]</f>
        <v>29.2</v>
      </c>
    </row>
    <row r="494" spans="1:9" x14ac:dyDescent="0.25">
      <c r="A494" t="s">
        <v>672</v>
      </c>
      <c r="B494" t="s">
        <v>669</v>
      </c>
      <c r="C494" s="2" t="str">
        <f t="shared" si="10"/>
        <v>mai</v>
      </c>
      <c r="D494" t="s">
        <v>69</v>
      </c>
      <c r="E494" t="s">
        <v>1586</v>
      </c>
      <c r="F494">
        <v>12</v>
      </c>
      <c r="G494" t="s">
        <v>43</v>
      </c>
      <c r="H494">
        <v>3.99</v>
      </c>
      <c r="I494">
        <f>Table1[[#This Row],[Quantité corrigé]]*Table1[[#This Row],[Prix_Unitaire_HT]]</f>
        <v>47.88</v>
      </c>
    </row>
    <row r="495" spans="1:9" x14ac:dyDescent="0.25">
      <c r="A495" t="s">
        <v>673</v>
      </c>
      <c r="B495" t="s">
        <v>674</v>
      </c>
      <c r="C495" s="2" t="str">
        <f t="shared" si="10"/>
        <v>mai</v>
      </c>
      <c r="D495" t="s">
        <v>19</v>
      </c>
      <c r="E495" t="s">
        <v>1580</v>
      </c>
      <c r="F495">
        <v>4</v>
      </c>
      <c r="G495" t="s">
        <v>21</v>
      </c>
      <c r="H495">
        <v>4.4000000000000004</v>
      </c>
      <c r="I495">
        <f>Table1[[#This Row],[Quantité corrigé]]*Table1[[#This Row],[Prix_Unitaire_HT]]</f>
        <v>17.600000000000001</v>
      </c>
    </row>
    <row r="496" spans="1:9" x14ac:dyDescent="0.25">
      <c r="A496" t="s">
        <v>675</v>
      </c>
      <c r="B496" t="s">
        <v>674</v>
      </c>
      <c r="C496" s="2" t="str">
        <f t="shared" si="10"/>
        <v>mai</v>
      </c>
      <c r="D496" t="s">
        <v>19</v>
      </c>
      <c r="E496" t="s">
        <v>1581</v>
      </c>
      <c r="F496">
        <v>4</v>
      </c>
      <c r="G496" t="s">
        <v>25</v>
      </c>
      <c r="H496">
        <v>22.9</v>
      </c>
      <c r="I496">
        <f>Table1[[#This Row],[Quantité corrigé]]*Table1[[#This Row],[Prix_Unitaire_HT]]</f>
        <v>91.6</v>
      </c>
    </row>
    <row r="497" spans="1:9" x14ac:dyDescent="0.25">
      <c r="A497" t="s">
        <v>676</v>
      </c>
      <c r="B497" t="s">
        <v>674</v>
      </c>
      <c r="C497" s="2" t="str">
        <f t="shared" si="10"/>
        <v>mai</v>
      </c>
      <c r="D497" t="s">
        <v>19</v>
      </c>
      <c r="E497" t="s">
        <v>1582</v>
      </c>
      <c r="F497">
        <v>10</v>
      </c>
      <c r="G497" t="s">
        <v>29</v>
      </c>
      <c r="H497">
        <v>10.57</v>
      </c>
      <c r="I497">
        <f>Table1[[#This Row],[Quantité corrigé]]*Table1[[#This Row],[Prix_Unitaire_HT]]</f>
        <v>105.7</v>
      </c>
    </row>
    <row r="498" spans="1:9" x14ac:dyDescent="0.25">
      <c r="A498" t="s">
        <v>677</v>
      </c>
      <c r="B498" t="s">
        <v>674</v>
      </c>
      <c r="C498" s="2" t="str">
        <f t="shared" si="10"/>
        <v>mai</v>
      </c>
      <c r="D498" t="s">
        <v>50</v>
      </c>
      <c r="E498" t="s">
        <v>1587</v>
      </c>
      <c r="F498">
        <v>2</v>
      </c>
      <c r="G498" t="s">
        <v>52</v>
      </c>
      <c r="H498">
        <v>18.059999999999999</v>
      </c>
      <c r="I498">
        <f>Table1[[#This Row],[Quantité corrigé]]*Table1[[#This Row],[Prix_Unitaire_HT]]</f>
        <v>36.119999999999997</v>
      </c>
    </row>
    <row r="499" spans="1:9" x14ac:dyDescent="0.25">
      <c r="A499" t="s">
        <v>678</v>
      </c>
      <c r="B499" t="s">
        <v>674</v>
      </c>
      <c r="C499" s="2" t="str">
        <f t="shared" si="10"/>
        <v>mai</v>
      </c>
      <c r="D499" t="s">
        <v>195</v>
      </c>
      <c r="E499" t="s">
        <v>1588</v>
      </c>
      <c r="F499">
        <v>10</v>
      </c>
      <c r="G499" t="s">
        <v>17</v>
      </c>
      <c r="H499">
        <v>8.9</v>
      </c>
      <c r="I499">
        <f>Table1[[#This Row],[Quantité corrigé]]*Table1[[#This Row],[Prix_Unitaire_HT]]</f>
        <v>89</v>
      </c>
    </row>
    <row r="500" spans="1:9" x14ac:dyDescent="0.25">
      <c r="A500" t="s">
        <v>679</v>
      </c>
      <c r="B500" t="s">
        <v>680</v>
      </c>
      <c r="C500" s="2" t="str">
        <f t="shared" si="10"/>
        <v>mai</v>
      </c>
      <c r="D500" t="s">
        <v>61</v>
      </c>
      <c r="E500" t="s">
        <v>1577</v>
      </c>
      <c r="F500">
        <v>6</v>
      </c>
      <c r="G500" t="s">
        <v>11</v>
      </c>
      <c r="H500">
        <v>14.07</v>
      </c>
      <c r="I500">
        <f>Table1[[#This Row],[Quantité corrigé]]*Table1[[#This Row],[Prix_Unitaire_HT]]</f>
        <v>84.42</v>
      </c>
    </row>
    <row r="501" spans="1:9" x14ac:dyDescent="0.25">
      <c r="A501" t="s">
        <v>681</v>
      </c>
      <c r="B501" t="s">
        <v>680</v>
      </c>
      <c r="C501" s="2" t="str">
        <f t="shared" si="10"/>
        <v>mai</v>
      </c>
      <c r="D501" t="s">
        <v>61</v>
      </c>
      <c r="E501" t="s">
        <v>1578</v>
      </c>
      <c r="F501">
        <v>4</v>
      </c>
      <c r="G501" t="s">
        <v>11</v>
      </c>
      <c r="H501">
        <v>13.58</v>
      </c>
      <c r="I501">
        <f>Table1[[#This Row],[Quantité corrigé]]*Table1[[#This Row],[Prix_Unitaire_HT]]</f>
        <v>54.32</v>
      </c>
    </row>
    <row r="502" spans="1:9" x14ac:dyDescent="0.25">
      <c r="A502" t="s">
        <v>682</v>
      </c>
      <c r="B502" t="s">
        <v>680</v>
      </c>
      <c r="C502" s="2" t="str">
        <f t="shared" si="10"/>
        <v>mai</v>
      </c>
      <c r="D502" t="s">
        <v>61</v>
      </c>
      <c r="E502" t="s">
        <v>1579</v>
      </c>
      <c r="F502">
        <v>6</v>
      </c>
      <c r="G502" t="s">
        <v>17</v>
      </c>
      <c r="H502">
        <v>1.22</v>
      </c>
      <c r="I502">
        <f>Table1[[#This Row],[Quantité corrigé]]*Table1[[#This Row],[Prix_Unitaire_HT]]</f>
        <v>7.32</v>
      </c>
    </row>
    <row r="503" spans="1:9" x14ac:dyDescent="0.25">
      <c r="A503" t="s">
        <v>683</v>
      </c>
      <c r="B503" t="s">
        <v>684</v>
      </c>
      <c r="C503" s="2" t="str">
        <f t="shared" si="10"/>
        <v>mai</v>
      </c>
      <c r="D503" t="s">
        <v>66</v>
      </c>
      <c r="E503" t="s">
        <v>1583</v>
      </c>
      <c r="F503">
        <v>5</v>
      </c>
      <c r="G503" t="s">
        <v>17</v>
      </c>
      <c r="H503">
        <v>10.26</v>
      </c>
      <c r="I503">
        <f>Table1[[#This Row],[Quantité corrigé]]*Table1[[#This Row],[Prix_Unitaire_HT]]</f>
        <v>51.3</v>
      </c>
    </row>
    <row r="504" spans="1:9" x14ac:dyDescent="0.25">
      <c r="A504" t="s">
        <v>685</v>
      </c>
      <c r="B504" t="s">
        <v>684</v>
      </c>
      <c r="C504" s="2" t="str">
        <f t="shared" si="10"/>
        <v>mai</v>
      </c>
      <c r="D504" t="s">
        <v>66</v>
      </c>
      <c r="E504" t="s">
        <v>1584</v>
      </c>
      <c r="F504">
        <v>12</v>
      </c>
      <c r="G504" t="s">
        <v>17</v>
      </c>
      <c r="H504">
        <v>7.4</v>
      </c>
      <c r="I504">
        <f>Table1[[#This Row],[Quantité corrigé]]*Table1[[#This Row],[Prix_Unitaire_HT]]</f>
        <v>88.800000000000011</v>
      </c>
    </row>
    <row r="505" spans="1:9" x14ac:dyDescent="0.25">
      <c r="A505" t="s">
        <v>686</v>
      </c>
      <c r="B505" t="s">
        <v>684</v>
      </c>
      <c r="C505" s="2" t="str">
        <f t="shared" si="10"/>
        <v>mai</v>
      </c>
      <c r="D505" t="s">
        <v>69</v>
      </c>
      <c r="E505" t="s">
        <v>1585</v>
      </c>
      <c r="F505">
        <v>8</v>
      </c>
      <c r="G505" t="s">
        <v>39</v>
      </c>
      <c r="H505">
        <v>5.97</v>
      </c>
      <c r="I505">
        <f>Table1[[#This Row],[Quantité corrigé]]*Table1[[#This Row],[Prix_Unitaire_HT]]</f>
        <v>47.76</v>
      </c>
    </row>
    <row r="506" spans="1:9" x14ac:dyDescent="0.25">
      <c r="A506" t="s">
        <v>687</v>
      </c>
      <c r="B506" t="s">
        <v>684</v>
      </c>
      <c r="C506" s="2" t="str">
        <f t="shared" si="10"/>
        <v>mai</v>
      </c>
      <c r="D506" t="s">
        <v>69</v>
      </c>
      <c r="E506" t="s">
        <v>1586</v>
      </c>
      <c r="F506">
        <v>5</v>
      </c>
      <c r="G506" t="s">
        <v>43</v>
      </c>
      <c r="H506">
        <v>3.89</v>
      </c>
      <c r="I506">
        <f>Table1[[#This Row],[Quantité corrigé]]*Table1[[#This Row],[Prix_Unitaire_HT]]</f>
        <v>19.45</v>
      </c>
    </row>
    <row r="507" spans="1:9" x14ac:dyDescent="0.25">
      <c r="A507" t="s">
        <v>688</v>
      </c>
      <c r="B507" t="s">
        <v>689</v>
      </c>
      <c r="C507" s="2" t="str">
        <f t="shared" si="10"/>
        <v>juin</v>
      </c>
      <c r="D507" t="s">
        <v>195</v>
      </c>
      <c r="E507" t="s">
        <v>1588</v>
      </c>
      <c r="F507">
        <v>4</v>
      </c>
      <c r="G507" t="s">
        <v>17</v>
      </c>
      <c r="H507">
        <v>9.24</v>
      </c>
      <c r="I507">
        <f>Table1[[#This Row],[Quantité corrigé]]*Table1[[#This Row],[Prix_Unitaire_HT]]</f>
        <v>36.96</v>
      </c>
    </row>
    <row r="508" spans="1:9" x14ac:dyDescent="0.25">
      <c r="A508" t="s">
        <v>690</v>
      </c>
      <c r="B508" t="s">
        <v>691</v>
      </c>
      <c r="C508" s="2" t="str">
        <f t="shared" si="10"/>
        <v>juin</v>
      </c>
      <c r="D508" t="s">
        <v>61</v>
      </c>
      <c r="E508" t="s">
        <v>1577</v>
      </c>
      <c r="F508">
        <v>3</v>
      </c>
      <c r="G508" t="s">
        <v>11</v>
      </c>
      <c r="H508">
        <v>14.74</v>
      </c>
      <c r="I508">
        <f>Table1[[#This Row],[Quantité corrigé]]*Table1[[#This Row],[Prix_Unitaire_HT]]</f>
        <v>44.22</v>
      </c>
    </row>
    <row r="509" spans="1:9" x14ac:dyDescent="0.25">
      <c r="A509" t="s">
        <v>692</v>
      </c>
      <c r="B509" t="s">
        <v>691</v>
      </c>
      <c r="C509" s="2" t="str">
        <f t="shared" si="10"/>
        <v>juin</v>
      </c>
      <c r="D509" t="s">
        <v>61</v>
      </c>
      <c r="E509" t="s">
        <v>1578</v>
      </c>
      <c r="F509">
        <v>4</v>
      </c>
      <c r="G509" t="s">
        <v>11</v>
      </c>
      <c r="H509">
        <v>13.68</v>
      </c>
      <c r="I509">
        <f>Table1[[#This Row],[Quantité corrigé]]*Table1[[#This Row],[Prix_Unitaire_HT]]</f>
        <v>54.72</v>
      </c>
    </row>
    <row r="510" spans="1:9" x14ac:dyDescent="0.25">
      <c r="A510" t="s">
        <v>693</v>
      </c>
      <c r="B510" t="s">
        <v>691</v>
      </c>
      <c r="C510" s="2" t="str">
        <f t="shared" si="10"/>
        <v>juin</v>
      </c>
      <c r="D510" t="s">
        <v>61</v>
      </c>
      <c r="E510" t="s">
        <v>1579</v>
      </c>
      <c r="F510">
        <v>4</v>
      </c>
      <c r="G510" t="s">
        <v>17</v>
      </c>
      <c r="H510">
        <v>1.25</v>
      </c>
      <c r="I510">
        <f>Table1[[#This Row],[Quantité corrigé]]*Table1[[#This Row],[Prix_Unitaire_HT]]</f>
        <v>5</v>
      </c>
    </row>
    <row r="511" spans="1:9" x14ac:dyDescent="0.25">
      <c r="A511" t="s">
        <v>694</v>
      </c>
      <c r="B511" t="s">
        <v>691</v>
      </c>
      <c r="C511" s="2" t="str">
        <f t="shared" si="10"/>
        <v>juin</v>
      </c>
      <c r="D511" t="s">
        <v>19</v>
      </c>
      <c r="E511" t="s">
        <v>1580</v>
      </c>
      <c r="F511">
        <v>8</v>
      </c>
      <c r="G511" t="s">
        <v>21</v>
      </c>
      <c r="H511">
        <v>4.2699999999999996</v>
      </c>
      <c r="I511">
        <f>Table1[[#This Row],[Quantité corrigé]]*Table1[[#This Row],[Prix_Unitaire_HT]]</f>
        <v>34.159999999999997</v>
      </c>
    </row>
    <row r="512" spans="1:9" x14ac:dyDescent="0.25">
      <c r="A512" t="s">
        <v>695</v>
      </c>
      <c r="B512" t="s">
        <v>691</v>
      </c>
      <c r="C512" s="2" t="str">
        <f t="shared" si="10"/>
        <v>juin</v>
      </c>
      <c r="D512" t="s">
        <v>19</v>
      </c>
      <c r="E512" t="s">
        <v>1581</v>
      </c>
      <c r="F512">
        <v>8</v>
      </c>
      <c r="G512" t="s">
        <v>25</v>
      </c>
      <c r="H512">
        <v>22.55</v>
      </c>
      <c r="I512">
        <f>Table1[[#This Row],[Quantité corrigé]]*Table1[[#This Row],[Prix_Unitaire_HT]]</f>
        <v>180.4</v>
      </c>
    </row>
    <row r="513" spans="1:9" x14ac:dyDescent="0.25">
      <c r="A513" t="s">
        <v>696</v>
      </c>
      <c r="B513" t="s">
        <v>691</v>
      </c>
      <c r="C513" s="2" t="str">
        <f t="shared" si="10"/>
        <v>juin</v>
      </c>
      <c r="D513" t="s">
        <v>19</v>
      </c>
      <c r="E513" t="s">
        <v>1582</v>
      </c>
      <c r="F513">
        <v>6</v>
      </c>
      <c r="G513" t="s">
        <v>29</v>
      </c>
      <c r="H513">
        <v>10.57</v>
      </c>
      <c r="I513">
        <f>Table1[[#This Row],[Quantité corrigé]]*Table1[[#This Row],[Prix_Unitaire_HT]]</f>
        <v>63.42</v>
      </c>
    </row>
    <row r="514" spans="1:9" x14ac:dyDescent="0.25">
      <c r="A514" t="s">
        <v>697</v>
      </c>
      <c r="B514" t="s">
        <v>698</v>
      </c>
      <c r="C514" s="2" t="str">
        <f t="shared" ref="C514:C577" si="11">TEXT(DATE(2024,MID(B514,4,2),_xlfn.TEXTBEFORE(B514,"/",1)),"mmmm")</f>
        <v>juin</v>
      </c>
      <c r="D514" t="s">
        <v>66</v>
      </c>
      <c r="E514" t="s">
        <v>1583</v>
      </c>
      <c r="F514">
        <v>12</v>
      </c>
      <c r="G514" t="s">
        <v>17</v>
      </c>
      <c r="H514">
        <v>8.5</v>
      </c>
      <c r="I514">
        <f>Table1[[#This Row],[Quantité corrigé]]*Table1[[#This Row],[Prix_Unitaire_HT]]</f>
        <v>102</v>
      </c>
    </row>
    <row r="515" spans="1:9" x14ac:dyDescent="0.25">
      <c r="A515" t="s">
        <v>699</v>
      </c>
      <c r="B515" t="s">
        <v>698</v>
      </c>
      <c r="C515" s="2" t="str">
        <f t="shared" si="11"/>
        <v>juin</v>
      </c>
      <c r="D515" t="s">
        <v>66</v>
      </c>
      <c r="E515" t="s">
        <v>1584</v>
      </c>
      <c r="F515">
        <v>10</v>
      </c>
      <c r="G515" t="s">
        <v>17</v>
      </c>
      <c r="H515">
        <v>7.35</v>
      </c>
      <c r="I515">
        <f>Table1[[#This Row],[Quantité corrigé]]*Table1[[#This Row],[Prix_Unitaire_HT]]</f>
        <v>73.5</v>
      </c>
    </row>
    <row r="516" spans="1:9" x14ac:dyDescent="0.25">
      <c r="A516" t="s">
        <v>700</v>
      </c>
      <c r="B516" t="s">
        <v>698</v>
      </c>
      <c r="C516" s="2" t="str">
        <f t="shared" si="11"/>
        <v>juin</v>
      </c>
      <c r="D516" t="s">
        <v>69</v>
      </c>
      <c r="E516" t="s">
        <v>1585</v>
      </c>
      <c r="F516">
        <v>12</v>
      </c>
      <c r="G516" t="s">
        <v>39</v>
      </c>
      <c r="H516">
        <v>6.02</v>
      </c>
      <c r="I516">
        <f>Table1[[#This Row],[Quantité corrigé]]*Table1[[#This Row],[Prix_Unitaire_HT]]</f>
        <v>72.239999999999995</v>
      </c>
    </row>
    <row r="517" spans="1:9" x14ac:dyDescent="0.25">
      <c r="A517" t="s">
        <v>701</v>
      </c>
      <c r="B517" t="s">
        <v>698</v>
      </c>
      <c r="C517" s="2" t="str">
        <f t="shared" si="11"/>
        <v>juin</v>
      </c>
      <c r="D517" t="s">
        <v>69</v>
      </c>
      <c r="E517" t="s">
        <v>1586</v>
      </c>
      <c r="F517">
        <v>12</v>
      </c>
      <c r="G517" t="s">
        <v>43</v>
      </c>
      <c r="H517">
        <v>3.98</v>
      </c>
      <c r="I517">
        <f>Table1[[#This Row],[Quantité corrigé]]*Table1[[#This Row],[Prix_Unitaire_HT]]</f>
        <v>47.76</v>
      </c>
    </row>
    <row r="518" spans="1:9" x14ac:dyDescent="0.25">
      <c r="A518" t="s">
        <v>702</v>
      </c>
      <c r="B518" t="s">
        <v>703</v>
      </c>
      <c r="C518" s="2" t="str">
        <f t="shared" si="11"/>
        <v>juin</v>
      </c>
      <c r="D518" t="s">
        <v>19</v>
      </c>
      <c r="E518" t="s">
        <v>1580</v>
      </c>
      <c r="F518">
        <v>10</v>
      </c>
      <c r="G518" t="s">
        <v>21</v>
      </c>
      <c r="H518">
        <v>4.09</v>
      </c>
      <c r="I518">
        <f>Table1[[#This Row],[Quantité corrigé]]*Table1[[#This Row],[Prix_Unitaire_HT]]</f>
        <v>40.9</v>
      </c>
    </row>
    <row r="519" spans="1:9" x14ac:dyDescent="0.25">
      <c r="A519" t="s">
        <v>704</v>
      </c>
      <c r="B519" t="s">
        <v>703</v>
      </c>
      <c r="C519" s="2" t="str">
        <f t="shared" si="11"/>
        <v>juin</v>
      </c>
      <c r="D519" t="s">
        <v>19</v>
      </c>
      <c r="E519" t="s">
        <v>1581</v>
      </c>
      <c r="F519">
        <v>6</v>
      </c>
      <c r="G519" t="s">
        <v>25</v>
      </c>
      <c r="H519">
        <v>21.76</v>
      </c>
      <c r="I519">
        <f>Table1[[#This Row],[Quantité corrigé]]*Table1[[#This Row],[Prix_Unitaire_HT]]</f>
        <v>130.56</v>
      </c>
    </row>
    <row r="520" spans="1:9" x14ac:dyDescent="0.25">
      <c r="A520" t="s">
        <v>705</v>
      </c>
      <c r="B520" t="s">
        <v>703</v>
      </c>
      <c r="C520" s="2" t="str">
        <f t="shared" si="11"/>
        <v>juin</v>
      </c>
      <c r="D520" t="s">
        <v>19</v>
      </c>
      <c r="E520" t="s">
        <v>1582</v>
      </c>
      <c r="F520">
        <v>10</v>
      </c>
      <c r="G520" t="s">
        <v>29</v>
      </c>
      <c r="H520">
        <v>10.029999999999999</v>
      </c>
      <c r="I520">
        <f>Table1[[#This Row],[Quantité corrigé]]*Table1[[#This Row],[Prix_Unitaire_HT]]</f>
        <v>100.3</v>
      </c>
    </row>
    <row r="521" spans="1:9" x14ac:dyDescent="0.25">
      <c r="A521" t="s">
        <v>706</v>
      </c>
      <c r="B521" t="s">
        <v>703</v>
      </c>
      <c r="C521" s="2" t="str">
        <f t="shared" si="11"/>
        <v>juin</v>
      </c>
      <c r="D521" t="s">
        <v>50</v>
      </c>
      <c r="E521" t="s">
        <v>1587</v>
      </c>
      <c r="F521">
        <v>3</v>
      </c>
      <c r="G521" t="s">
        <v>52</v>
      </c>
      <c r="H521">
        <v>18.41</v>
      </c>
      <c r="I521">
        <f>Table1[[#This Row],[Quantité corrigé]]*Table1[[#This Row],[Prix_Unitaire_HT]]</f>
        <v>55.230000000000004</v>
      </c>
    </row>
    <row r="522" spans="1:9" x14ac:dyDescent="0.25">
      <c r="A522" t="s">
        <v>707</v>
      </c>
      <c r="B522" t="s">
        <v>703</v>
      </c>
      <c r="C522" s="2" t="str">
        <f t="shared" si="11"/>
        <v>juin</v>
      </c>
      <c r="D522" t="s">
        <v>195</v>
      </c>
      <c r="E522" t="s">
        <v>1588</v>
      </c>
      <c r="F522">
        <v>8</v>
      </c>
      <c r="G522" t="s">
        <v>17</v>
      </c>
      <c r="H522">
        <v>9.68</v>
      </c>
      <c r="I522">
        <f>Table1[[#This Row],[Quantité corrigé]]*Table1[[#This Row],[Prix_Unitaire_HT]]</f>
        <v>77.44</v>
      </c>
    </row>
    <row r="523" spans="1:9" x14ac:dyDescent="0.25">
      <c r="A523" t="s">
        <v>708</v>
      </c>
      <c r="B523" t="s">
        <v>709</v>
      </c>
      <c r="C523" s="2" t="str">
        <f t="shared" si="11"/>
        <v>juin</v>
      </c>
      <c r="D523" t="s">
        <v>61</v>
      </c>
      <c r="E523" t="s">
        <v>1577</v>
      </c>
      <c r="F523">
        <v>3</v>
      </c>
      <c r="G523" t="s">
        <v>11</v>
      </c>
      <c r="H523">
        <v>14.32</v>
      </c>
      <c r="I523">
        <f>Table1[[#This Row],[Quantité corrigé]]*Table1[[#This Row],[Prix_Unitaire_HT]]</f>
        <v>42.96</v>
      </c>
    </row>
    <row r="524" spans="1:9" x14ac:dyDescent="0.25">
      <c r="A524" t="s">
        <v>710</v>
      </c>
      <c r="B524" t="s">
        <v>709</v>
      </c>
      <c r="C524" s="2" t="str">
        <f t="shared" si="11"/>
        <v>juin</v>
      </c>
      <c r="D524" t="s">
        <v>61</v>
      </c>
      <c r="E524" t="s">
        <v>1578</v>
      </c>
      <c r="F524">
        <v>3</v>
      </c>
      <c r="G524" t="s">
        <v>11</v>
      </c>
      <c r="H524">
        <v>13.84</v>
      </c>
      <c r="I524">
        <f>Table1[[#This Row],[Quantité corrigé]]*Table1[[#This Row],[Prix_Unitaire_HT]]</f>
        <v>41.519999999999996</v>
      </c>
    </row>
    <row r="525" spans="1:9" x14ac:dyDescent="0.25">
      <c r="A525" t="s">
        <v>711</v>
      </c>
      <c r="B525" t="s">
        <v>709</v>
      </c>
      <c r="C525" s="2" t="str">
        <f t="shared" si="11"/>
        <v>juin</v>
      </c>
      <c r="D525" t="s">
        <v>61</v>
      </c>
      <c r="E525" t="s">
        <v>1579</v>
      </c>
      <c r="F525">
        <v>4</v>
      </c>
      <c r="G525" t="s">
        <v>17</v>
      </c>
      <c r="H525">
        <v>1.22</v>
      </c>
      <c r="I525">
        <f>Table1[[#This Row],[Quantité corrigé]]*Table1[[#This Row],[Prix_Unitaire_HT]]</f>
        <v>4.88</v>
      </c>
    </row>
    <row r="526" spans="1:9" x14ac:dyDescent="0.25">
      <c r="A526" t="s">
        <v>712</v>
      </c>
      <c r="B526" t="s">
        <v>713</v>
      </c>
      <c r="C526" s="2" t="str">
        <f t="shared" si="11"/>
        <v>juin</v>
      </c>
      <c r="D526" t="s">
        <v>66</v>
      </c>
      <c r="E526" t="s">
        <v>1583</v>
      </c>
      <c r="F526">
        <v>5</v>
      </c>
      <c r="G526" t="s">
        <v>17</v>
      </c>
      <c r="H526">
        <v>9.0500000000000007</v>
      </c>
      <c r="I526">
        <f>Table1[[#This Row],[Quantité corrigé]]*Table1[[#This Row],[Prix_Unitaire_HT]]</f>
        <v>45.25</v>
      </c>
    </row>
    <row r="527" spans="1:9" x14ac:dyDescent="0.25">
      <c r="A527" t="s">
        <v>714</v>
      </c>
      <c r="B527" t="s">
        <v>713</v>
      </c>
      <c r="C527" s="2" t="str">
        <f t="shared" si="11"/>
        <v>juin</v>
      </c>
      <c r="D527" t="s">
        <v>66</v>
      </c>
      <c r="E527" t="s">
        <v>1584</v>
      </c>
      <c r="F527">
        <v>5</v>
      </c>
      <c r="G527" t="s">
        <v>17</v>
      </c>
      <c r="H527">
        <v>7.73</v>
      </c>
      <c r="I527">
        <f>Table1[[#This Row],[Quantité corrigé]]*Table1[[#This Row],[Prix_Unitaire_HT]]</f>
        <v>38.650000000000006</v>
      </c>
    </row>
    <row r="528" spans="1:9" x14ac:dyDescent="0.25">
      <c r="A528" t="s">
        <v>715</v>
      </c>
      <c r="B528" t="s">
        <v>713</v>
      </c>
      <c r="C528" s="2" t="str">
        <f t="shared" si="11"/>
        <v>juin</v>
      </c>
      <c r="D528" t="s">
        <v>69</v>
      </c>
      <c r="E528" t="s">
        <v>1585</v>
      </c>
      <c r="F528">
        <v>8</v>
      </c>
      <c r="G528" t="s">
        <v>39</v>
      </c>
      <c r="H528">
        <v>6</v>
      </c>
      <c r="I528">
        <f>Table1[[#This Row],[Quantité corrigé]]*Table1[[#This Row],[Prix_Unitaire_HT]]</f>
        <v>48</v>
      </c>
    </row>
    <row r="529" spans="1:9" x14ac:dyDescent="0.25">
      <c r="A529" t="s">
        <v>716</v>
      </c>
      <c r="B529" t="s">
        <v>713</v>
      </c>
      <c r="C529" s="2" t="str">
        <f t="shared" si="11"/>
        <v>juin</v>
      </c>
      <c r="D529" t="s">
        <v>69</v>
      </c>
      <c r="E529" t="s">
        <v>1586</v>
      </c>
      <c r="F529">
        <v>10</v>
      </c>
      <c r="G529" t="s">
        <v>43</v>
      </c>
      <c r="H529">
        <v>3.95</v>
      </c>
      <c r="I529">
        <f>Table1[[#This Row],[Quantité corrigé]]*Table1[[#This Row],[Prix_Unitaire_HT]]</f>
        <v>39.5</v>
      </c>
    </row>
    <row r="530" spans="1:9" x14ac:dyDescent="0.25">
      <c r="A530" t="s">
        <v>717</v>
      </c>
      <c r="B530" t="s">
        <v>718</v>
      </c>
      <c r="C530" s="2" t="str">
        <f t="shared" si="11"/>
        <v>juin</v>
      </c>
      <c r="D530" t="s">
        <v>195</v>
      </c>
      <c r="E530" t="s">
        <v>1588</v>
      </c>
      <c r="F530">
        <v>8</v>
      </c>
      <c r="G530" t="s">
        <v>17</v>
      </c>
      <c r="H530">
        <v>8.81</v>
      </c>
      <c r="I530">
        <f>Table1[[#This Row],[Quantité corrigé]]*Table1[[#This Row],[Prix_Unitaire_HT]]</f>
        <v>70.48</v>
      </c>
    </row>
    <row r="531" spans="1:9" x14ac:dyDescent="0.25">
      <c r="A531" t="s">
        <v>719</v>
      </c>
      <c r="B531" t="s">
        <v>720</v>
      </c>
      <c r="C531" s="2" t="str">
        <f t="shared" si="11"/>
        <v>juin</v>
      </c>
      <c r="D531" t="s">
        <v>61</v>
      </c>
      <c r="E531" t="s">
        <v>1577</v>
      </c>
      <c r="F531">
        <v>6</v>
      </c>
      <c r="G531" t="s">
        <v>11</v>
      </c>
      <c r="H531">
        <v>14.1</v>
      </c>
      <c r="I531">
        <f>Table1[[#This Row],[Quantité corrigé]]*Table1[[#This Row],[Prix_Unitaire_HT]]</f>
        <v>84.6</v>
      </c>
    </row>
    <row r="532" spans="1:9" x14ac:dyDescent="0.25">
      <c r="A532" t="s">
        <v>721</v>
      </c>
      <c r="B532" t="s">
        <v>720</v>
      </c>
      <c r="C532" s="2" t="str">
        <f t="shared" si="11"/>
        <v>juin</v>
      </c>
      <c r="D532" t="s">
        <v>61</v>
      </c>
      <c r="E532" t="s">
        <v>1578</v>
      </c>
      <c r="F532">
        <v>5</v>
      </c>
      <c r="G532" t="s">
        <v>11</v>
      </c>
      <c r="H532">
        <v>13.89</v>
      </c>
      <c r="I532">
        <f>Table1[[#This Row],[Quantité corrigé]]*Table1[[#This Row],[Prix_Unitaire_HT]]</f>
        <v>69.45</v>
      </c>
    </row>
    <row r="533" spans="1:9" x14ac:dyDescent="0.25">
      <c r="A533" t="s">
        <v>722</v>
      </c>
      <c r="B533" t="s">
        <v>720</v>
      </c>
      <c r="C533" s="2" t="str">
        <f t="shared" si="11"/>
        <v>juin</v>
      </c>
      <c r="D533" t="s">
        <v>61</v>
      </c>
      <c r="E533" t="s">
        <v>1579</v>
      </c>
      <c r="F533">
        <v>3</v>
      </c>
      <c r="G533" t="s">
        <v>17</v>
      </c>
      <c r="H533">
        <v>1.22</v>
      </c>
      <c r="I533">
        <f>Table1[[#This Row],[Quantité corrigé]]*Table1[[#This Row],[Prix_Unitaire_HT]]</f>
        <v>3.66</v>
      </c>
    </row>
    <row r="534" spans="1:9" x14ac:dyDescent="0.25">
      <c r="A534" t="s">
        <v>723</v>
      </c>
      <c r="B534" t="s">
        <v>720</v>
      </c>
      <c r="C534" s="2" t="str">
        <f t="shared" si="11"/>
        <v>juin</v>
      </c>
      <c r="D534" t="s">
        <v>19</v>
      </c>
      <c r="E534" t="s">
        <v>1580</v>
      </c>
      <c r="F534">
        <v>10</v>
      </c>
      <c r="G534" t="s">
        <v>21</v>
      </c>
      <c r="H534">
        <v>4</v>
      </c>
      <c r="I534">
        <f>Table1[[#This Row],[Quantité corrigé]]*Table1[[#This Row],[Prix_Unitaire_HT]]</f>
        <v>40</v>
      </c>
    </row>
    <row r="535" spans="1:9" x14ac:dyDescent="0.25">
      <c r="A535" t="s">
        <v>724</v>
      </c>
      <c r="B535" t="s">
        <v>720</v>
      </c>
      <c r="C535" s="2" t="str">
        <f t="shared" si="11"/>
        <v>juin</v>
      </c>
      <c r="D535" t="s">
        <v>19</v>
      </c>
      <c r="E535" t="s">
        <v>1581</v>
      </c>
      <c r="F535">
        <v>10</v>
      </c>
      <c r="G535" t="s">
        <v>25</v>
      </c>
      <c r="H535">
        <v>21.84</v>
      </c>
      <c r="I535">
        <f>Table1[[#This Row],[Quantité corrigé]]*Table1[[#This Row],[Prix_Unitaire_HT]]</f>
        <v>218.4</v>
      </c>
    </row>
    <row r="536" spans="1:9" x14ac:dyDescent="0.25">
      <c r="A536" t="s">
        <v>725</v>
      </c>
      <c r="B536" t="s">
        <v>720</v>
      </c>
      <c r="C536" s="2" t="str">
        <f t="shared" si="11"/>
        <v>juin</v>
      </c>
      <c r="D536" t="s">
        <v>19</v>
      </c>
      <c r="E536" t="s">
        <v>1582</v>
      </c>
      <c r="F536">
        <v>8</v>
      </c>
      <c r="G536" t="s">
        <v>29</v>
      </c>
      <c r="H536">
        <v>9.9499999999999993</v>
      </c>
      <c r="I536">
        <f>Table1[[#This Row],[Quantité corrigé]]*Table1[[#This Row],[Prix_Unitaire_HT]]</f>
        <v>79.599999999999994</v>
      </c>
    </row>
    <row r="537" spans="1:9" x14ac:dyDescent="0.25">
      <c r="A537" t="s">
        <v>726</v>
      </c>
      <c r="B537" t="s">
        <v>727</v>
      </c>
      <c r="C537" s="2" t="str">
        <f t="shared" si="11"/>
        <v>juin</v>
      </c>
      <c r="D537" t="s">
        <v>66</v>
      </c>
      <c r="E537" t="s">
        <v>1583</v>
      </c>
      <c r="F537">
        <v>10</v>
      </c>
      <c r="G537" t="s">
        <v>17</v>
      </c>
      <c r="H537">
        <v>10.56</v>
      </c>
      <c r="I537">
        <f>Table1[[#This Row],[Quantité corrigé]]*Table1[[#This Row],[Prix_Unitaire_HT]]</f>
        <v>105.60000000000001</v>
      </c>
    </row>
    <row r="538" spans="1:9" x14ac:dyDescent="0.25">
      <c r="A538" t="s">
        <v>728</v>
      </c>
      <c r="B538" t="s">
        <v>727</v>
      </c>
      <c r="C538" s="2" t="str">
        <f t="shared" si="11"/>
        <v>juin</v>
      </c>
      <c r="D538" t="s">
        <v>66</v>
      </c>
      <c r="E538" t="s">
        <v>1584</v>
      </c>
      <c r="F538">
        <v>12</v>
      </c>
      <c r="G538" t="s">
        <v>17</v>
      </c>
      <c r="H538">
        <v>6.82</v>
      </c>
      <c r="I538">
        <f>Table1[[#This Row],[Quantité corrigé]]*Table1[[#This Row],[Prix_Unitaire_HT]]</f>
        <v>81.84</v>
      </c>
    </row>
    <row r="539" spans="1:9" x14ac:dyDescent="0.25">
      <c r="A539" t="s">
        <v>729</v>
      </c>
      <c r="B539" t="s">
        <v>727</v>
      </c>
      <c r="C539" s="2" t="str">
        <f t="shared" si="11"/>
        <v>juin</v>
      </c>
      <c r="D539" t="s">
        <v>69</v>
      </c>
      <c r="E539" t="s">
        <v>1585</v>
      </c>
      <c r="F539">
        <v>5</v>
      </c>
      <c r="G539" t="s">
        <v>39</v>
      </c>
      <c r="H539">
        <v>5.87</v>
      </c>
      <c r="I539">
        <f>Table1[[#This Row],[Quantité corrigé]]*Table1[[#This Row],[Prix_Unitaire_HT]]</f>
        <v>29.35</v>
      </c>
    </row>
    <row r="540" spans="1:9" x14ac:dyDescent="0.25">
      <c r="A540" t="s">
        <v>730</v>
      </c>
      <c r="B540" t="s">
        <v>727</v>
      </c>
      <c r="C540" s="2" t="str">
        <f t="shared" si="11"/>
        <v>juin</v>
      </c>
      <c r="D540" t="s">
        <v>69</v>
      </c>
      <c r="E540" t="s">
        <v>1586</v>
      </c>
      <c r="F540">
        <v>12</v>
      </c>
      <c r="G540" t="s">
        <v>43</v>
      </c>
      <c r="H540">
        <v>4</v>
      </c>
      <c r="I540">
        <f>Table1[[#This Row],[Quantité corrigé]]*Table1[[#This Row],[Prix_Unitaire_HT]]</f>
        <v>48</v>
      </c>
    </row>
    <row r="541" spans="1:9" x14ac:dyDescent="0.25">
      <c r="A541" t="s">
        <v>731</v>
      </c>
      <c r="B541" t="s">
        <v>732</v>
      </c>
      <c r="C541" s="2" t="str">
        <f t="shared" si="11"/>
        <v>juin</v>
      </c>
      <c r="D541" t="s">
        <v>19</v>
      </c>
      <c r="E541" t="s">
        <v>1580</v>
      </c>
      <c r="F541">
        <v>4</v>
      </c>
      <c r="G541" t="s">
        <v>21</v>
      </c>
      <c r="H541">
        <v>4.03</v>
      </c>
      <c r="I541">
        <f>Table1[[#This Row],[Quantité corrigé]]*Table1[[#This Row],[Prix_Unitaire_HT]]</f>
        <v>16.12</v>
      </c>
    </row>
    <row r="542" spans="1:9" x14ac:dyDescent="0.25">
      <c r="A542" t="s">
        <v>733</v>
      </c>
      <c r="B542" t="s">
        <v>732</v>
      </c>
      <c r="C542" s="2" t="str">
        <f t="shared" si="11"/>
        <v>juin</v>
      </c>
      <c r="D542" t="s">
        <v>19</v>
      </c>
      <c r="E542" t="s">
        <v>1581</v>
      </c>
      <c r="F542">
        <v>10</v>
      </c>
      <c r="G542" t="s">
        <v>25</v>
      </c>
      <c r="H542">
        <v>21.97</v>
      </c>
      <c r="I542">
        <f>Table1[[#This Row],[Quantité corrigé]]*Table1[[#This Row],[Prix_Unitaire_HT]]</f>
        <v>219.7</v>
      </c>
    </row>
    <row r="543" spans="1:9" x14ac:dyDescent="0.25">
      <c r="A543" t="s">
        <v>734</v>
      </c>
      <c r="B543" t="s">
        <v>732</v>
      </c>
      <c r="C543" s="2" t="str">
        <f t="shared" si="11"/>
        <v>juin</v>
      </c>
      <c r="D543" t="s">
        <v>19</v>
      </c>
      <c r="E543" t="s">
        <v>1582</v>
      </c>
      <c r="F543">
        <v>8</v>
      </c>
      <c r="G543" t="s">
        <v>29</v>
      </c>
      <c r="H543">
        <v>9.32</v>
      </c>
      <c r="I543">
        <f>Table1[[#This Row],[Quantité corrigé]]*Table1[[#This Row],[Prix_Unitaire_HT]]</f>
        <v>74.56</v>
      </c>
    </row>
    <row r="544" spans="1:9" x14ac:dyDescent="0.25">
      <c r="A544" t="s">
        <v>735</v>
      </c>
      <c r="B544" t="s">
        <v>732</v>
      </c>
      <c r="C544" s="2" t="str">
        <f t="shared" si="11"/>
        <v>juin</v>
      </c>
      <c r="D544" t="s">
        <v>50</v>
      </c>
      <c r="E544" t="s">
        <v>1587</v>
      </c>
      <c r="F544">
        <v>2</v>
      </c>
      <c r="G544" t="s">
        <v>52</v>
      </c>
      <c r="H544">
        <v>18.649999999999999</v>
      </c>
      <c r="I544">
        <f>Table1[[#This Row],[Quantité corrigé]]*Table1[[#This Row],[Prix_Unitaire_HT]]</f>
        <v>37.299999999999997</v>
      </c>
    </row>
    <row r="545" spans="1:9" x14ac:dyDescent="0.25">
      <c r="A545" t="s">
        <v>736</v>
      </c>
      <c r="B545" t="s">
        <v>732</v>
      </c>
      <c r="C545" s="2" t="str">
        <f t="shared" si="11"/>
        <v>juin</v>
      </c>
      <c r="D545" t="s">
        <v>195</v>
      </c>
      <c r="E545" t="s">
        <v>1588</v>
      </c>
      <c r="F545">
        <v>6</v>
      </c>
      <c r="G545" t="s">
        <v>17</v>
      </c>
      <c r="H545">
        <v>9.51</v>
      </c>
      <c r="I545">
        <f>Table1[[#This Row],[Quantité corrigé]]*Table1[[#This Row],[Prix_Unitaire_HT]]</f>
        <v>57.06</v>
      </c>
    </row>
    <row r="546" spans="1:9" x14ac:dyDescent="0.25">
      <c r="A546" t="s">
        <v>737</v>
      </c>
      <c r="B546" t="s">
        <v>738</v>
      </c>
      <c r="C546" s="2" t="str">
        <f t="shared" si="11"/>
        <v>juin</v>
      </c>
      <c r="D546" t="s">
        <v>61</v>
      </c>
      <c r="E546" t="s">
        <v>1577</v>
      </c>
      <c r="F546">
        <v>4</v>
      </c>
      <c r="G546" t="s">
        <v>11</v>
      </c>
      <c r="H546">
        <v>14.28</v>
      </c>
      <c r="I546">
        <f>Table1[[#This Row],[Quantité corrigé]]*Table1[[#This Row],[Prix_Unitaire_HT]]</f>
        <v>57.12</v>
      </c>
    </row>
    <row r="547" spans="1:9" x14ac:dyDescent="0.25">
      <c r="A547" t="s">
        <v>739</v>
      </c>
      <c r="B547" t="s">
        <v>738</v>
      </c>
      <c r="C547" s="2" t="str">
        <f t="shared" si="11"/>
        <v>juin</v>
      </c>
      <c r="D547" t="s">
        <v>61</v>
      </c>
      <c r="E547" t="s">
        <v>1578</v>
      </c>
      <c r="F547">
        <v>5</v>
      </c>
      <c r="G547" t="s">
        <v>11</v>
      </c>
      <c r="H547">
        <v>13.12</v>
      </c>
      <c r="I547">
        <f>Table1[[#This Row],[Quantité corrigé]]*Table1[[#This Row],[Prix_Unitaire_HT]]</f>
        <v>65.599999999999994</v>
      </c>
    </row>
    <row r="548" spans="1:9" x14ac:dyDescent="0.25">
      <c r="A548" t="s">
        <v>740</v>
      </c>
      <c r="B548" t="s">
        <v>738</v>
      </c>
      <c r="C548" s="2" t="str">
        <f t="shared" si="11"/>
        <v>juin</v>
      </c>
      <c r="D548" t="s">
        <v>61</v>
      </c>
      <c r="E548" t="s">
        <v>1579</v>
      </c>
      <c r="F548">
        <v>6</v>
      </c>
      <c r="G548" t="s">
        <v>17</v>
      </c>
      <c r="H548">
        <v>1.21</v>
      </c>
      <c r="I548">
        <f>Table1[[#This Row],[Quantité corrigé]]*Table1[[#This Row],[Prix_Unitaire_HT]]</f>
        <v>7.26</v>
      </c>
    </row>
    <row r="549" spans="1:9" x14ac:dyDescent="0.25">
      <c r="A549" t="s">
        <v>741</v>
      </c>
      <c r="B549" t="s">
        <v>742</v>
      </c>
      <c r="C549" s="2" t="str">
        <f t="shared" si="11"/>
        <v>juin</v>
      </c>
      <c r="D549" t="s">
        <v>66</v>
      </c>
      <c r="E549" t="s">
        <v>1583</v>
      </c>
      <c r="F549">
        <v>5</v>
      </c>
      <c r="G549" t="s">
        <v>17</v>
      </c>
      <c r="H549">
        <v>9.0399999999999991</v>
      </c>
      <c r="I549">
        <f>Table1[[#This Row],[Quantité corrigé]]*Table1[[#This Row],[Prix_Unitaire_HT]]</f>
        <v>45.199999999999996</v>
      </c>
    </row>
    <row r="550" spans="1:9" x14ac:dyDescent="0.25">
      <c r="A550" t="s">
        <v>743</v>
      </c>
      <c r="B550" t="s">
        <v>742</v>
      </c>
      <c r="C550" s="2" t="str">
        <f t="shared" si="11"/>
        <v>juin</v>
      </c>
      <c r="D550" t="s">
        <v>66</v>
      </c>
      <c r="E550" t="s">
        <v>1584</v>
      </c>
      <c r="F550">
        <v>10</v>
      </c>
      <c r="G550" t="s">
        <v>17</v>
      </c>
      <c r="H550">
        <v>6.73</v>
      </c>
      <c r="I550">
        <f>Table1[[#This Row],[Quantité corrigé]]*Table1[[#This Row],[Prix_Unitaire_HT]]</f>
        <v>67.300000000000011</v>
      </c>
    </row>
    <row r="551" spans="1:9" x14ac:dyDescent="0.25">
      <c r="A551" t="s">
        <v>744</v>
      </c>
      <c r="B551" t="s">
        <v>742</v>
      </c>
      <c r="C551" s="2" t="str">
        <f t="shared" si="11"/>
        <v>juin</v>
      </c>
      <c r="D551" t="s">
        <v>69</v>
      </c>
      <c r="E551" t="s">
        <v>1585</v>
      </c>
      <c r="F551">
        <v>5</v>
      </c>
      <c r="G551" t="s">
        <v>39</v>
      </c>
      <c r="H551">
        <v>5.7</v>
      </c>
      <c r="I551">
        <f>Table1[[#This Row],[Quantité corrigé]]*Table1[[#This Row],[Prix_Unitaire_HT]]</f>
        <v>28.5</v>
      </c>
    </row>
    <row r="552" spans="1:9" x14ac:dyDescent="0.25">
      <c r="A552" t="s">
        <v>745</v>
      </c>
      <c r="B552" t="s">
        <v>742</v>
      </c>
      <c r="C552" s="2" t="str">
        <f t="shared" si="11"/>
        <v>juin</v>
      </c>
      <c r="D552" t="s">
        <v>69</v>
      </c>
      <c r="E552" t="s">
        <v>1586</v>
      </c>
      <c r="F552">
        <v>12</v>
      </c>
      <c r="G552" t="s">
        <v>43</v>
      </c>
      <c r="H552">
        <v>3.94</v>
      </c>
      <c r="I552">
        <f>Table1[[#This Row],[Quantité corrigé]]*Table1[[#This Row],[Prix_Unitaire_HT]]</f>
        <v>47.28</v>
      </c>
    </row>
    <row r="553" spans="1:9" x14ac:dyDescent="0.25">
      <c r="A553" t="s">
        <v>746</v>
      </c>
      <c r="B553" t="s">
        <v>747</v>
      </c>
      <c r="C553" s="2" t="str">
        <f t="shared" si="11"/>
        <v>juin</v>
      </c>
      <c r="D553" t="s">
        <v>195</v>
      </c>
      <c r="E553" t="s">
        <v>1588</v>
      </c>
      <c r="F553">
        <v>4</v>
      </c>
      <c r="G553" t="s">
        <v>17</v>
      </c>
      <c r="H553">
        <v>9.17</v>
      </c>
      <c r="I553">
        <f>Table1[[#This Row],[Quantité corrigé]]*Table1[[#This Row],[Prix_Unitaire_HT]]</f>
        <v>36.68</v>
      </c>
    </row>
    <row r="554" spans="1:9" x14ac:dyDescent="0.25">
      <c r="A554" t="s">
        <v>748</v>
      </c>
      <c r="B554" t="s">
        <v>749</v>
      </c>
      <c r="C554" s="2" t="str">
        <f t="shared" si="11"/>
        <v>juin</v>
      </c>
      <c r="D554" t="s">
        <v>61</v>
      </c>
      <c r="E554" t="s">
        <v>1577</v>
      </c>
      <c r="F554">
        <v>4</v>
      </c>
      <c r="G554" t="s">
        <v>11</v>
      </c>
      <c r="H554">
        <v>14.24</v>
      </c>
      <c r="I554">
        <f>Table1[[#This Row],[Quantité corrigé]]*Table1[[#This Row],[Prix_Unitaire_HT]]</f>
        <v>56.96</v>
      </c>
    </row>
    <row r="555" spans="1:9" x14ac:dyDescent="0.25">
      <c r="A555" t="s">
        <v>750</v>
      </c>
      <c r="B555" t="s">
        <v>749</v>
      </c>
      <c r="C555" s="2" t="str">
        <f t="shared" si="11"/>
        <v>juin</v>
      </c>
      <c r="D555" t="s">
        <v>61</v>
      </c>
      <c r="E555" t="s">
        <v>1578</v>
      </c>
      <c r="F555">
        <v>6</v>
      </c>
      <c r="G555" t="s">
        <v>11</v>
      </c>
      <c r="H555">
        <v>13.13</v>
      </c>
      <c r="I555">
        <f>Table1[[#This Row],[Quantité corrigé]]*Table1[[#This Row],[Prix_Unitaire_HT]]</f>
        <v>78.78</v>
      </c>
    </row>
    <row r="556" spans="1:9" x14ac:dyDescent="0.25">
      <c r="A556" t="s">
        <v>751</v>
      </c>
      <c r="B556" t="s">
        <v>749</v>
      </c>
      <c r="C556" s="2" t="str">
        <f t="shared" si="11"/>
        <v>juin</v>
      </c>
      <c r="D556" t="s">
        <v>61</v>
      </c>
      <c r="E556" t="s">
        <v>1579</v>
      </c>
      <c r="F556">
        <v>3</v>
      </c>
      <c r="G556" t="s">
        <v>17</v>
      </c>
      <c r="H556">
        <v>1.18</v>
      </c>
      <c r="I556">
        <f>Table1[[#This Row],[Quantité corrigé]]*Table1[[#This Row],[Prix_Unitaire_HT]]</f>
        <v>3.54</v>
      </c>
    </row>
    <row r="557" spans="1:9" x14ac:dyDescent="0.25">
      <c r="A557" t="s">
        <v>752</v>
      </c>
      <c r="B557" t="s">
        <v>749</v>
      </c>
      <c r="C557" s="2" t="str">
        <f t="shared" si="11"/>
        <v>juin</v>
      </c>
      <c r="D557" t="s">
        <v>19</v>
      </c>
      <c r="E557" t="s">
        <v>1580</v>
      </c>
      <c r="F557">
        <v>6</v>
      </c>
      <c r="G557" t="s">
        <v>21</v>
      </c>
      <c r="H557">
        <v>4.51</v>
      </c>
      <c r="I557">
        <f>Table1[[#This Row],[Quantité corrigé]]*Table1[[#This Row],[Prix_Unitaire_HT]]</f>
        <v>27.06</v>
      </c>
    </row>
    <row r="558" spans="1:9" x14ac:dyDescent="0.25">
      <c r="A558" t="s">
        <v>753</v>
      </c>
      <c r="B558" t="s">
        <v>749</v>
      </c>
      <c r="C558" s="2" t="str">
        <f t="shared" si="11"/>
        <v>juin</v>
      </c>
      <c r="D558" t="s">
        <v>19</v>
      </c>
      <c r="E558" t="s">
        <v>1581</v>
      </c>
      <c r="F558">
        <v>8</v>
      </c>
      <c r="G558" t="s">
        <v>25</v>
      </c>
      <c r="H558">
        <v>23.56</v>
      </c>
      <c r="I558">
        <f>Table1[[#This Row],[Quantité corrigé]]*Table1[[#This Row],[Prix_Unitaire_HT]]</f>
        <v>188.48</v>
      </c>
    </row>
    <row r="559" spans="1:9" x14ac:dyDescent="0.25">
      <c r="A559" t="s">
        <v>754</v>
      </c>
      <c r="B559" t="s">
        <v>749</v>
      </c>
      <c r="C559" s="2" t="str">
        <f t="shared" si="11"/>
        <v>juin</v>
      </c>
      <c r="D559" t="s">
        <v>19</v>
      </c>
      <c r="E559" t="s">
        <v>1582</v>
      </c>
      <c r="F559">
        <v>10</v>
      </c>
      <c r="G559" t="s">
        <v>29</v>
      </c>
      <c r="H559">
        <v>10.029999999999999</v>
      </c>
      <c r="I559">
        <f>Table1[[#This Row],[Quantité corrigé]]*Table1[[#This Row],[Prix_Unitaire_HT]]</f>
        <v>100.3</v>
      </c>
    </row>
    <row r="560" spans="1:9" x14ac:dyDescent="0.25">
      <c r="A560" t="s">
        <v>755</v>
      </c>
      <c r="B560" t="s">
        <v>756</v>
      </c>
      <c r="C560" s="2" t="str">
        <f t="shared" si="11"/>
        <v>juin</v>
      </c>
      <c r="D560" t="s">
        <v>66</v>
      </c>
      <c r="E560" t="s">
        <v>1583</v>
      </c>
      <c r="F560">
        <v>6</v>
      </c>
      <c r="G560" t="s">
        <v>17</v>
      </c>
      <c r="H560">
        <v>9.24</v>
      </c>
      <c r="I560">
        <f>Table1[[#This Row],[Quantité corrigé]]*Table1[[#This Row],[Prix_Unitaire_HT]]</f>
        <v>55.44</v>
      </c>
    </row>
    <row r="561" spans="1:9" x14ac:dyDescent="0.25">
      <c r="A561" t="s">
        <v>757</v>
      </c>
      <c r="B561" t="s">
        <v>756</v>
      </c>
      <c r="C561" s="2" t="str">
        <f t="shared" si="11"/>
        <v>juin</v>
      </c>
      <c r="D561" t="s">
        <v>66</v>
      </c>
      <c r="E561" t="s">
        <v>1584</v>
      </c>
      <c r="F561">
        <v>8</v>
      </c>
      <c r="G561" t="s">
        <v>17</v>
      </c>
      <c r="H561">
        <v>7.2</v>
      </c>
      <c r="I561">
        <f>Table1[[#This Row],[Quantité corrigé]]*Table1[[#This Row],[Prix_Unitaire_HT]]</f>
        <v>57.6</v>
      </c>
    </row>
    <row r="562" spans="1:9" x14ac:dyDescent="0.25">
      <c r="A562" t="s">
        <v>758</v>
      </c>
      <c r="B562" t="s">
        <v>756</v>
      </c>
      <c r="C562" s="2" t="str">
        <f t="shared" si="11"/>
        <v>juin</v>
      </c>
      <c r="D562" t="s">
        <v>69</v>
      </c>
      <c r="E562" t="s">
        <v>1585</v>
      </c>
      <c r="F562">
        <v>5</v>
      </c>
      <c r="G562" t="s">
        <v>39</v>
      </c>
      <c r="H562">
        <v>5.76</v>
      </c>
      <c r="I562">
        <f>Table1[[#This Row],[Quantité corrigé]]*Table1[[#This Row],[Prix_Unitaire_HT]]</f>
        <v>28.799999999999997</v>
      </c>
    </row>
    <row r="563" spans="1:9" x14ac:dyDescent="0.25">
      <c r="A563" t="s">
        <v>759</v>
      </c>
      <c r="B563" t="s">
        <v>756</v>
      </c>
      <c r="C563" s="2" t="str">
        <f t="shared" si="11"/>
        <v>juin</v>
      </c>
      <c r="D563" t="s">
        <v>69</v>
      </c>
      <c r="E563" t="s">
        <v>1586</v>
      </c>
      <c r="F563">
        <v>10</v>
      </c>
      <c r="G563" t="s">
        <v>43</v>
      </c>
      <c r="H563">
        <v>4.05</v>
      </c>
      <c r="I563">
        <f>Table1[[#This Row],[Quantité corrigé]]*Table1[[#This Row],[Prix_Unitaire_HT]]</f>
        <v>40.5</v>
      </c>
    </row>
    <row r="564" spans="1:9" x14ac:dyDescent="0.25">
      <c r="A564" t="s">
        <v>760</v>
      </c>
      <c r="B564" t="s">
        <v>761</v>
      </c>
      <c r="C564" s="2" t="str">
        <f t="shared" si="11"/>
        <v>juin</v>
      </c>
      <c r="D564" t="s">
        <v>19</v>
      </c>
      <c r="E564" t="s">
        <v>1580</v>
      </c>
      <c r="F564">
        <v>10</v>
      </c>
      <c r="G564" t="s">
        <v>21</v>
      </c>
      <c r="H564">
        <v>4.42</v>
      </c>
      <c r="I564">
        <f>Table1[[#This Row],[Quantité corrigé]]*Table1[[#This Row],[Prix_Unitaire_HT]]</f>
        <v>44.2</v>
      </c>
    </row>
    <row r="565" spans="1:9" x14ac:dyDescent="0.25">
      <c r="A565" t="s">
        <v>762</v>
      </c>
      <c r="B565" t="s">
        <v>761</v>
      </c>
      <c r="C565" s="2" t="str">
        <f t="shared" si="11"/>
        <v>juin</v>
      </c>
      <c r="D565" t="s">
        <v>19</v>
      </c>
      <c r="E565" t="s">
        <v>1581</v>
      </c>
      <c r="F565">
        <v>10</v>
      </c>
      <c r="G565" t="s">
        <v>25</v>
      </c>
      <c r="H565">
        <v>22.48</v>
      </c>
      <c r="I565">
        <f>Table1[[#This Row],[Quantité corrigé]]*Table1[[#This Row],[Prix_Unitaire_HT]]</f>
        <v>224.8</v>
      </c>
    </row>
    <row r="566" spans="1:9" x14ac:dyDescent="0.25">
      <c r="A566" t="s">
        <v>763</v>
      </c>
      <c r="B566" t="s">
        <v>761</v>
      </c>
      <c r="C566" s="2" t="str">
        <f t="shared" si="11"/>
        <v>juin</v>
      </c>
      <c r="D566" t="s">
        <v>19</v>
      </c>
      <c r="E566" t="s">
        <v>1582</v>
      </c>
      <c r="F566">
        <v>8</v>
      </c>
      <c r="G566" t="s">
        <v>29</v>
      </c>
      <c r="H566">
        <v>9.42</v>
      </c>
      <c r="I566">
        <f>Table1[[#This Row],[Quantité corrigé]]*Table1[[#This Row],[Prix_Unitaire_HT]]</f>
        <v>75.36</v>
      </c>
    </row>
    <row r="567" spans="1:9" x14ac:dyDescent="0.25">
      <c r="A567" t="s">
        <v>764</v>
      </c>
      <c r="B567" t="s">
        <v>761</v>
      </c>
      <c r="C567" s="2" t="str">
        <f t="shared" si="11"/>
        <v>juin</v>
      </c>
      <c r="D567" t="s">
        <v>50</v>
      </c>
      <c r="E567" t="s">
        <v>1587</v>
      </c>
      <c r="F567">
        <v>2</v>
      </c>
      <c r="G567" t="s">
        <v>52</v>
      </c>
      <c r="H567">
        <v>17.899999999999999</v>
      </c>
      <c r="I567">
        <f>Table1[[#This Row],[Quantité corrigé]]*Table1[[#This Row],[Prix_Unitaire_HT]]</f>
        <v>35.799999999999997</v>
      </c>
    </row>
    <row r="568" spans="1:9" x14ac:dyDescent="0.25">
      <c r="A568" t="s">
        <v>765</v>
      </c>
      <c r="B568" t="s">
        <v>761</v>
      </c>
      <c r="C568" s="2" t="str">
        <f t="shared" si="11"/>
        <v>juin</v>
      </c>
      <c r="D568" t="s">
        <v>195</v>
      </c>
      <c r="E568" t="s">
        <v>1588</v>
      </c>
      <c r="F568">
        <v>8</v>
      </c>
      <c r="G568" t="s">
        <v>17</v>
      </c>
      <c r="H568">
        <v>9.42</v>
      </c>
      <c r="I568">
        <f>Table1[[#This Row],[Quantité corrigé]]*Table1[[#This Row],[Prix_Unitaire_HT]]</f>
        <v>75.36</v>
      </c>
    </row>
    <row r="569" spans="1:9" x14ac:dyDescent="0.25">
      <c r="A569" t="s">
        <v>766</v>
      </c>
      <c r="B569" t="s">
        <v>767</v>
      </c>
      <c r="C569" s="2" t="str">
        <f t="shared" si="11"/>
        <v>juin</v>
      </c>
      <c r="D569" t="s">
        <v>61</v>
      </c>
      <c r="E569" t="s">
        <v>1577</v>
      </c>
      <c r="F569">
        <v>3</v>
      </c>
      <c r="G569" t="s">
        <v>11</v>
      </c>
      <c r="H569">
        <v>15.19</v>
      </c>
      <c r="I569">
        <f>Table1[[#This Row],[Quantité corrigé]]*Table1[[#This Row],[Prix_Unitaire_HT]]</f>
        <v>45.57</v>
      </c>
    </row>
    <row r="570" spans="1:9" x14ac:dyDescent="0.25">
      <c r="A570" t="s">
        <v>768</v>
      </c>
      <c r="B570" t="s">
        <v>767</v>
      </c>
      <c r="C570" s="2" t="str">
        <f t="shared" si="11"/>
        <v>juin</v>
      </c>
      <c r="D570" t="s">
        <v>61</v>
      </c>
      <c r="E570" t="s">
        <v>1578</v>
      </c>
      <c r="F570">
        <v>3</v>
      </c>
      <c r="G570" t="s">
        <v>11</v>
      </c>
      <c r="H570">
        <v>12.96</v>
      </c>
      <c r="I570">
        <f>Table1[[#This Row],[Quantité corrigé]]*Table1[[#This Row],[Prix_Unitaire_HT]]</f>
        <v>38.880000000000003</v>
      </c>
    </row>
    <row r="571" spans="1:9" x14ac:dyDescent="0.25">
      <c r="A571" t="s">
        <v>769</v>
      </c>
      <c r="B571" t="s">
        <v>767</v>
      </c>
      <c r="C571" s="2" t="str">
        <f t="shared" si="11"/>
        <v>juin</v>
      </c>
      <c r="D571" t="s">
        <v>61</v>
      </c>
      <c r="E571" t="s">
        <v>1579</v>
      </c>
      <c r="F571">
        <v>6</v>
      </c>
      <c r="G571" t="s">
        <v>17</v>
      </c>
      <c r="H571">
        <v>1.18</v>
      </c>
      <c r="I571">
        <f>Table1[[#This Row],[Quantité corrigé]]*Table1[[#This Row],[Prix_Unitaire_HT]]</f>
        <v>7.08</v>
      </c>
    </row>
    <row r="572" spans="1:9" x14ac:dyDescent="0.25">
      <c r="A572" t="s">
        <v>770</v>
      </c>
      <c r="B572" t="s">
        <v>771</v>
      </c>
      <c r="C572" s="2" t="str">
        <f t="shared" si="11"/>
        <v>juin</v>
      </c>
      <c r="D572" t="s">
        <v>66</v>
      </c>
      <c r="E572" t="s">
        <v>1583</v>
      </c>
      <c r="F572">
        <v>8</v>
      </c>
      <c r="G572" t="s">
        <v>17</v>
      </c>
      <c r="H572">
        <v>9.7200000000000006</v>
      </c>
      <c r="I572">
        <f>Table1[[#This Row],[Quantité corrigé]]*Table1[[#This Row],[Prix_Unitaire_HT]]</f>
        <v>77.760000000000005</v>
      </c>
    </row>
    <row r="573" spans="1:9" x14ac:dyDescent="0.25">
      <c r="A573" t="s">
        <v>772</v>
      </c>
      <c r="B573" t="s">
        <v>771</v>
      </c>
      <c r="C573" s="2" t="str">
        <f t="shared" si="11"/>
        <v>juin</v>
      </c>
      <c r="D573" t="s">
        <v>66</v>
      </c>
      <c r="E573" t="s">
        <v>1584</v>
      </c>
      <c r="F573">
        <v>10</v>
      </c>
      <c r="G573" t="s">
        <v>17</v>
      </c>
      <c r="H573">
        <v>6.96</v>
      </c>
      <c r="I573">
        <f>Table1[[#This Row],[Quantité corrigé]]*Table1[[#This Row],[Prix_Unitaire_HT]]</f>
        <v>69.599999999999994</v>
      </c>
    </row>
    <row r="574" spans="1:9" x14ac:dyDescent="0.25">
      <c r="A574" t="s">
        <v>773</v>
      </c>
      <c r="B574" t="s">
        <v>771</v>
      </c>
      <c r="C574" s="2" t="str">
        <f t="shared" si="11"/>
        <v>juin</v>
      </c>
      <c r="D574" t="s">
        <v>69</v>
      </c>
      <c r="E574" t="s">
        <v>1585</v>
      </c>
      <c r="F574">
        <v>8</v>
      </c>
      <c r="G574" t="s">
        <v>39</v>
      </c>
      <c r="H574">
        <v>5.88</v>
      </c>
      <c r="I574">
        <f>Table1[[#This Row],[Quantité corrigé]]*Table1[[#This Row],[Prix_Unitaire_HT]]</f>
        <v>47.04</v>
      </c>
    </row>
    <row r="575" spans="1:9" x14ac:dyDescent="0.25">
      <c r="A575" t="s">
        <v>774</v>
      </c>
      <c r="B575" t="s">
        <v>771</v>
      </c>
      <c r="C575" s="2" t="str">
        <f t="shared" si="11"/>
        <v>juin</v>
      </c>
      <c r="D575" t="s">
        <v>69</v>
      </c>
      <c r="E575" t="s">
        <v>1586</v>
      </c>
      <c r="F575">
        <v>10</v>
      </c>
      <c r="G575" t="s">
        <v>43</v>
      </c>
      <c r="H575">
        <v>3.85</v>
      </c>
      <c r="I575">
        <f>Table1[[#This Row],[Quantité corrigé]]*Table1[[#This Row],[Prix_Unitaire_HT]]</f>
        <v>38.5</v>
      </c>
    </row>
    <row r="576" spans="1:9" x14ac:dyDescent="0.25">
      <c r="A576" t="s">
        <v>775</v>
      </c>
      <c r="B576" t="s">
        <v>776</v>
      </c>
      <c r="C576" s="2" t="str">
        <f t="shared" si="11"/>
        <v>juin</v>
      </c>
      <c r="D576" t="s">
        <v>195</v>
      </c>
      <c r="E576" t="s">
        <v>1588</v>
      </c>
      <c r="F576">
        <v>10</v>
      </c>
      <c r="G576" t="s">
        <v>17</v>
      </c>
      <c r="H576">
        <v>8.4600000000000009</v>
      </c>
      <c r="I576">
        <f>Table1[[#This Row],[Quantité corrigé]]*Table1[[#This Row],[Prix_Unitaire_HT]]</f>
        <v>84.600000000000009</v>
      </c>
    </row>
    <row r="577" spans="1:9" x14ac:dyDescent="0.25">
      <c r="A577" t="s">
        <v>777</v>
      </c>
      <c r="B577" t="s">
        <v>778</v>
      </c>
      <c r="C577" s="2" t="str">
        <f t="shared" si="11"/>
        <v>juin</v>
      </c>
      <c r="D577" t="s">
        <v>61</v>
      </c>
      <c r="E577" t="s">
        <v>1577</v>
      </c>
      <c r="F577">
        <v>6</v>
      </c>
      <c r="G577" t="s">
        <v>11</v>
      </c>
      <c r="H577">
        <v>14.98</v>
      </c>
      <c r="I577">
        <f>Table1[[#This Row],[Quantité corrigé]]*Table1[[#This Row],[Prix_Unitaire_HT]]</f>
        <v>89.88</v>
      </c>
    </row>
    <row r="578" spans="1:9" x14ac:dyDescent="0.25">
      <c r="A578" t="s">
        <v>779</v>
      </c>
      <c r="B578" t="s">
        <v>778</v>
      </c>
      <c r="C578" s="2" t="str">
        <f t="shared" ref="C578:C641" si="12">TEXT(DATE(2024,MID(B578,4,2),_xlfn.TEXTBEFORE(B578,"/",1)),"mmmm")</f>
        <v>juin</v>
      </c>
      <c r="D578" t="s">
        <v>61</v>
      </c>
      <c r="E578" t="s">
        <v>1578</v>
      </c>
      <c r="F578">
        <v>6</v>
      </c>
      <c r="G578" t="s">
        <v>11</v>
      </c>
      <c r="H578">
        <v>13.51</v>
      </c>
      <c r="I578">
        <f>Table1[[#This Row],[Quantité corrigé]]*Table1[[#This Row],[Prix_Unitaire_HT]]</f>
        <v>81.06</v>
      </c>
    </row>
    <row r="579" spans="1:9" x14ac:dyDescent="0.25">
      <c r="A579" t="s">
        <v>780</v>
      </c>
      <c r="B579" t="s">
        <v>778</v>
      </c>
      <c r="C579" s="2" t="str">
        <f t="shared" si="12"/>
        <v>juin</v>
      </c>
      <c r="D579" t="s">
        <v>61</v>
      </c>
      <c r="E579" t="s">
        <v>1579</v>
      </c>
      <c r="F579">
        <v>4</v>
      </c>
      <c r="G579" t="s">
        <v>17</v>
      </c>
      <c r="H579">
        <v>1.2</v>
      </c>
      <c r="I579">
        <f>Table1[[#This Row],[Quantité corrigé]]*Table1[[#This Row],[Prix_Unitaire_HT]]</f>
        <v>4.8</v>
      </c>
    </row>
    <row r="580" spans="1:9" x14ac:dyDescent="0.25">
      <c r="A580" t="s">
        <v>781</v>
      </c>
      <c r="B580" t="s">
        <v>778</v>
      </c>
      <c r="C580" s="2" t="str">
        <f t="shared" si="12"/>
        <v>juin</v>
      </c>
      <c r="D580" t="s">
        <v>19</v>
      </c>
      <c r="E580" t="s">
        <v>1580</v>
      </c>
      <c r="F580">
        <v>10</v>
      </c>
      <c r="G580" t="s">
        <v>21</v>
      </c>
      <c r="H580">
        <v>4.45</v>
      </c>
      <c r="I580">
        <f>Table1[[#This Row],[Quantité corrigé]]*Table1[[#This Row],[Prix_Unitaire_HT]]</f>
        <v>44.5</v>
      </c>
    </row>
    <row r="581" spans="1:9" x14ac:dyDescent="0.25">
      <c r="A581" t="s">
        <v>782</v>
      </c>
      <c r="B581" t="s">
        <v>778</v>
      </c>
      <c r="C581" s="2" t="str">
        <f t="shared" si="12"/>
        <v>juin</v>
      </c>
      <c r="D581" t="s">
        <v>19</v>
      </c>
      <c r="E581" t="s">
        <v>1581</v>
      </c>
      <c r="F581">
        <v>10</v>
      </c>
      <c r="G581" t="s">
        <v>25</v>
      </c>
      <c r="H581">
        <v>22.16</v>
      </c>
      <c r="I581">
        <f>Table1[[#This Row],[Quantité corrigé]]*Table1[[#This Row],[Prix_Unitaire_HT]]</f>
        <v>221.6</v>
      </c>
    </row>
    <row r="582" spans="1:9" x14ac:dyDescent="0.25">
      <c r="A582" t="s">
        <v>783</v>
      </c>
      <c r="B582" t="s">
        <v>778</v>
      </c>
      <c r="C582" s="2" t="str">
        <f t="shared" si="12"/>
        <v>juin</v>
      </c>
      <c r="D582" t="s">
        <v>19</v>
      </c>
      <c r="E582" t="s">
        <v>1582</v>
      </c>
      <c r="F582">
        <v>6</v>
      </c>
      <c r="G582" t="s">
        <v>29</v>
      </c>
      <c r="H582">
        <v>9.69</v>
      </c>
      <c r="I582">
        <f>Table1[[#This Row],[Quantité corrigé]]*Table1[[#This Row],[Prix_Unitaire_HT]]</f>
        <v>58.14</v>
      </c>
    </row>
    <row r="583" spans="1:9" x14ac:dyDescent="0.25">
      <c r="A583" t="s">
        <v>784</v>
      </c>
      <c r="B583" t="s">
        <v>785</v>
      </c>
      <c r="C583" s="2" t="str">
        <f t="shared" si="12"/>
        <v>juin</v>
      </c>
      <c r="D583" t="s">
        <v>66</v>
      </c>
      <c r="E583" t="s">
        <v>1583</v>
      </c>
      <c r="F583">
        <v>8</v>
      </c>
      <c r="G583" t="s">
        <v>17</v>
      </c>
      <c r="H583">
        <v>10.56</v>
      </c>
      <c r="I583">
        <f>Table1[[#This Row],[Quantité corrigé]]*Table1[[#This Row],[Prix_Unitaire_HT]]</f>
        <v>84.48</v>
      </c>
    </row>
    <row r="584" spans="1:9" x14ac:dyDescent="0.25">
      <c r="A584" t="s">
        <v>786</v>
      </c>
      <c r="B584" t="s">
        <v>785</v>
      </c>
      <c r="C584" s="2" t="str">
        <f t="shared" si="12"/>
        <v>juin</v>
      </c>
      <c r="D584" t="s">
        <v>66</v>
      </c>
      <c r="E584" t="s">
        <v>1584</v>
      </c>
      <c r="F584">
        <v>6</v>
      </c>
      <c r="G584" t="s">
        <v>17</v>
      </c>
      <c r="H584">
        <v>7.74</v>
      </c>
      <c r="I584">
        <f>Table1[[#This Row],[Quantité corrigé]]*Table1[[#This Row],[Prix_Unitaire_HT]]</f>
        <v>46.44</v>
      </c>
    </row>
    <row r="585" spans="1:9" x14ac:dyDescent="0.25">
      <c r="A585" t="s">
        <v>787</v>
      </c>
      <c r="B585" t="s">
        <v>785</v>
      </c>
      <c r="C585" s="2" t="str">
        <f t="shared" si="12"/>
        <v>juin</v>
      </c>
      <c r="D585" t="s">
        <v>69</v>
      </c>
      <c r="E585" t="s">
        <v>1585</v>
      </c>
      <c r="F585">
        <v>12</v>
      </c>
      <c r="G585" t="s">
        <v>39</v>
      </c>
      <c r="H585">
        <v>5.97</v>
      </c>
      <c r="I585">
        <f>Table1[[#This Row],[Quantité corrigé]]*Table1[[#This Row],[Prix_Unitaire_HT]]</f>
        <v>71.64</v>
      </c>
    </row>
    <row r="586" spans="1:9" x14ac:dyDescent="0.25">
      <c r="A586" t="s">
        <v>788</v>
      </c>
      <c r="B586" t="s">
        <v>785</v>
      </c>
      <c r="C586" s="2" t="str">
        <f t="shared" si="12"/>
        <v>juin</v>
      </c>
      <c r="D586" t="s">
        <v>69</v>
      </c>
      <c r="E586" t="s">
        <v>1586</v>
      </c>
      <c r="F586">
        <v>8</v>
      </c>
      <c r="G586" t="s">
        <v>43</v>
      </c>
      <c r="H586">
        <v>3.96</v>
      </c>
      <c r="I586">
        <f>Table1[[#This Row],[Quantité corrigé]]*Table1[[#This Row],[Prix_Unitaire_HT]]</f>
        <v>31.68</v>
      </c>
    </row>
    <row r="587" spans="1:9" x14ac:dyDescent="0.25">
      <c r="A587" t="s">
        <v>789</v>
      </c>
      <c r="B587" t="s">
        <v>790</v>
      </c>
      <c r="C587" s="2" t="str">
        <f t="shared" si="12"/>
        <v>juin</v>
      </c>
      <c r="D587" t="s">
        <v>19</v>
      </c>
      <c r="E587" t="s">
        <v>1580</v>
      </c>
      <c r="F587">
        <v>10</v>
      </c>
      <c r="G587" t="s">
        <v>21</v>
      </c>
      <c r="H587">
        <v>4.51</v>
      </c>
      <c r="I587">
        <f>Table1[[#This Row],[Quantité corrigé]]*Table1[[#This Row],[Prix_Unitaire_HT]]</f>
        <v>45.099999999999994</v>
      </c>
    </row>
    <row r="588" spans="1:9" x14ac:dyDescent="0.25">
      <c r="A588" t="s">
        <v>791</v>
      </c>
      <c r="B588" t="s">
        <v>790</v>
      </c>
      <c r="C588" s="2" t="str">
        <f t="shared" si="12"/>
        <v>juin</v>
      </c>
      <c r="D588" t="s">
        <v>19</v>
      </c>
      <c r="E588" t="s">
        <v>1581</v>
      </c>
      <c r="F588">
        <v>8</v>
      </c>
      <c r="G588" t="s">
        <v>25</v>
      </c>
      <c r="H588">
        <v>22.15</v>
      </c>
      <c r="I588">
        <f>Table1[[#This Row],[Quantité corrigé]]*Table1[[#This Row],[Prix_Unitaire_HT]]</f>
        <v>177.2</v>
      </c>
    </row>
    <row r="589" spans="1:9" x14ac:dyDescent="0.25">
      <c r="A589" t="s">
        <v>792</v>
      </c>
      <c r="B589" t="s">
        <v>790</v>
      </c>
      <c r="C589" s="2" t="str">
        <f t="shared" si="12"/>
        <v>juin</v>
      </c>
      <c r="D589" t="s">
        <v>19</v>
      </c>
      <c r="E589" t="s">
        <v>1582</v>
      </c>
      <c r="F589">
        <v>10</v>
      </c>
      <c r="G589" t="s">
        <v>29</v>
      </c>
      <c r="H589">
        <v>10.35</v>
      </c>
      <c r="I589">
        <f>Table1[[#This Row],[Quantité corrigé]]*Table1[[#This Row],[Prix_Unitaire_HT]]</f>
        <v>103.5</v>
      </c>
    </row>
    <row r="590" spans="1:9" x14ac:dyDescent="0.25">
      <c r="A590" t="s">
        <v>793</v>
      </c>
      <c r="B590" t="s">
        <v>790</v>
      </c>
      <c r="C590" s="2" t="str">
        <f t="shared" si="12"/>
        <v>juin</v>
      </c>
      <c r="D590" t="s">
        <v>50</v>
      </c>
      <c r="E590" t="s">
        <v>1587</v>
      </c>
      <c r="F590">
        <v>2</v>
      </c>
      <c r="G590" t="s">
        <v>52</v>
      </c>
      <c r="H590">
        <v>18.809999999999999</v>
      </c>
      <c r="I590">
        <f>Table1[[#This Row],[Quantité corrigé]]*Table1[[#This Row],[Prix_Unitaire_HT]]</f>
        <v>37.619999999999997</v>
      </c>
    </row>
    <row r="591" spans="1:9" x14ac:dyDescent="0.25">
      <c r="A591" t="s">
        <v>794</v>
      </c>
      <c r="B591" t="s">
        <v>790</v>
      </c>
      <c r="C591" s="2" t="str">
        <f t="shared" si="12"/>
        <v>juin</v>
      </c>
      <c r="D591" t="s">
        <v>195</v>
      </c>
      <c r="E591" t="s">
        <v>1588</v>
      </c>
      <c r="F591">
        <v>10</v>
      </c>
      <c r="G591" t="s">
        <v>17</v>
      </c>
      <c r="H591">
        <v>9.3800000000000008</v>
      </c>
      <c r="I591">
        <f>Table1[[#This Row],[Quantité corrigé]]*Table1[[#This Row],[Prix_Unitaire_HT]]</f>
        <v>93.800000000000011</v>
      </c>
    </row>
    <row r="592" spans="1:9" x14ac:dyDescent="0.25">
      <c r="A592" t="s">
        <v>795</v>
      </c>
      <c r="B592" t="s">
        <v>796</v>
      </c>
      <c r="C592" s="2" t="str">
        <f t="shared" si="12"/>
        <v>juin</v>
      </c>
      <c r="D592" t="s">
        <v>61</v>
      </c>
      <c r="E592" t="s">
        <v>1577</v>
      </c>
      <c r="F592">
        <v>6</v>
      </c>
      <c r="G592" t="s">
        <v>11</v>
      </c>
      <c r="H592">
        <v>14.72</v>
      </c>
      <c r="I592">
        <f>Table1[[#This Row],[Quantité corrigé]]*Table1[[#This Row],[Prix_Unitaire_HT]]</f>
        <v>88.320000000000007</v>
      </c>
    </row>
    <row r="593" spans="1:9" x14ac:dyDescent="0.25">
      <c r="A593" t="s">
        <v>797</v>
      </c>
      <c r="B593" t="s">
        <v>796</v>
      </c>
      <c r="C593" s="2" t="str">
        <f t="shared" si="12"/>
        <v>juin</v>
      </c>
      <c r="D593" t="s">
        <v>61</v>
      </c>
      <c r="E593" t="s">
        <v>1578</v>
      </c>
      <c r="F593">
        <v>3</v>
      </c>
      <c r="G593" t="s">
        <v>11</v>
      </c>
      <c r="H593">
        <v>13.74</v>
      </c>
      <c r="I593">
        <f>Table1[[#This Row],[Quantité corrigé]]*Table1[[#This Row],[Prix_Unitaire_HT]]</f>
        <v>41.22</v>
      </c>
    </row>
    <row r="594" spans="1:9" x14ac:dyDescent="0.25">
      <c r="A594" t="s">
        <v>798</v>
      </c>
      <c r="B594" t="s">
        <v>796</v>
      </c>
      <c r="C594" s="2" t="str">
        <f t="shared" si="12"/>
        <v>juin</v>
      </c>
      <c r="D594" t="s">
        <v>61</v>
      </c>
      <c r="E594" t="s">
        <v>1579</v>
      </c>
      <c r="F594">
        <v>3</v>
      </c>
      <c r="G594" t="s">
        <v>17</v>
      </c>
      <c r="H594">
        <v>1.18</v>
      </c>
      <c r="I594">
        <f>Table1[[#This Row],[Quantité corrigé]]*Table1[[#This Row],[Prix_Unitaire_HT]]</f>
        <v>3.54</v>
      </c>
    </row>
    <row r="595" spans="1:9" x14ac:dyDescent="0.25">
      <c r="A595" t="s">
        <v>799</v>
      </c>
      <c r="B595" t="s">
        <v>800</v>
      </c>
      <c r="C595" s="2" t="str">
        <f t="shared" si="12"/>
        <v>juin</v>
      </c>
      <c r="D595" t="s">
        <v>66</v>
      </c>
      <c r="E595" t="s">
        <v>1583</v>
      </c>
      <c r="F595">
        <v>12</v>
      </c>
      <c r="G595" t="s">
        <v>17</v>
      </c>
      <c r="H595">
        <v>8.74</v>
      </c>
      <c r="I595">
        <f>Table1[[#This Row],[Quantité corrigé]]*Table1[[#This Row],[Prix_Unitaire_HT]]</f>
        <v>104.88</v>
      </c>
    </row>
    <row r="596" spans="1:9" x14ac:dyDescent="0.25">
      <c r="A596" t="s">
        <v>801</v>
      </c>
      <c r="B596" t="s">
        <v>800</v>
      </c>
      <c r="C596" s="2" t="str">
        <f t="shared" si="12"/>
        <v>juin</v>
      </c>
      <c r="D596" t="s">
        <v>66</v>
      </c>
      <c r="E596" t="s">
        <v>1584</v>
      </c>
      <c r="F596">
        <v>8</v>
      </c>
      <c r="G596" t="s">
        <v>17</v>
      </c>
      <c r="H596">
        <v>7.74</v>
      </c>
      <c r="I596">
        <f>Table1[[#This Row],[Quantité corrigé]]*Table1[[#This Row],[Prix_Unitaire_HT]]</f>
        <v>61.92</v>
      </c>
    </row>
    <row r="597" spans="1:9" x14ac:dyDescent="0.25">
      <c r="A597" t="s">
        <v>802</v>
      </c>
      <c r="B597" t="s">
        <v>800</v>
      </c>
      <c r="C597" s="2" t="str">
        <f t="shared" si="12"/>
        <v>juin</v>
      </c>
      <c r="D597" t="s">
        <v>69</v>
      </c>
      <c r="E597" t="s">
        <v>1585</v>
      </c>
      <c r="F597">
        <v>5</v>
      </c>
      <c r="G597" t="s">
        <v>39</v>
      </c>
      <c r="H597">
        <v>5.72</v>
      </c>
      <c r="I597">
        <f>Table1[[#This Row],[Quantité corrigé]]*Table1[[#This Row],[Prix_Unitaire_HT]]</f>
        <v>28.599999999999998</v>
      </c>
    </row>
    <row r="598" spans="1:9" x14ac:dyDescent="0.25">
      <c r="A598" t="s">
        <v>803</v>
      </c>
      <c r="B598" t="s">
        <v>800</v>
      </c>
      <c r="C598" s="2" t="str">
        <f t="shared" si="12"/>
        <v>juin</v>
      </c>
      <c r="D598" t="s">
        <v>69</v>
      </c>
      <c r="E598" t="s">
        <v>1586</v>
      </c>
      <c r="F598">
        <v>12</v>
      </c>
      <c r="G598" t="s">
        <v>43</v>
      </c>
      <c r="H598">
        <v>3.93</v>
      </c>
      <c r="I598">
        <f>Table1[[#This Row],[Quantité corrigé]]*Table1[[#This Row],[Prix_Unitaire_HT]]</f>
        <v>47.160000000000004</v>
      </c>
    </row>
    <row r="599" spans="1:9" x14ac:dyDescent="0.25">
      <c r="A599" t="s">
        <v>804</v>
      </c>
      <c r="B599" t="s">
        <v>805</v>
      </c>
      <c r="C599" s="2" t="str">
        <f t="shared" si="12"/>
        <v>juin</v>
      </c>
      <c r="D599" t="s">
        <v>195</v>
      </c>
      <c r="E599" t="s">
        <v>1588</v>
      </c>
      <c r="F599">
        <v>4</v>
      </c>
      <c r="G599" t="s">
        <v>17</v>
      </c>
      <c r="H599">
        <v>8.86</v>
      </c>
      <c r="I599">
        <f>Table1[[#This Row],[Quantité corrigé]]*Table1[[#This Row],[Prix_Unitaire_HT]]</f>
        <v>35.44</v>
      </c>
    </row>
    <row r="600" spans="1:9" x14ac:dyDescent="0.25">
      <c r="A600" t="s">
        <v>806</v>
      </c>
      <c r="B600" t="s">
        <v>807</v>
      </c>
      <c r="C600" s="2" t="str">
        <f t="shared" si="12"/>
        <v>juillet</v>
      </c>
      <c r="D600" t="s">
        <v>61</v>
      </c>
      <c r="E600" t="s">
        <v>1577</v>
      </c>
      <c r="F600">
        <v>6</v>
      </c>
      <c r="G600" t="s">
        <v>11</v>
      </c>
      <c r="H600">
        <v>15.16</v>
      </c>
      <c r="I600">
        <f>Table1[[#This Row],[Quantité corrigé]]*Table1[[#This Row],[Prix_Unitaire_HT]]</f>
        <v>90.960000000000008</v>
      </c>
    </row>
    <row r="601" spans="1:9" x14ac:dyDescent="0.25">
      <c r="A601" t="s">
        <v>808</v>
      </c>
      <c r="B601" t="s">
        <v>807</v>
      </c>
      <c r="C601" s="2" t="str">
        <f t="shared" si="12"/>
        <v>juillet</v>
      </c>
      <c r="D601" t="s">
        <v>61</v>
      </c>
      <c r="E601" t="s">
        <v>1578</v>
      </c>
      <c r="F601">
        <v>5</v>
      </c>
      <c r="G601" t="s">
        <v>11</v>
      </c>
      <c r="H601">
        <v>13.17</v>
      </c>
      <c r="I601">
        <f>Table1[[#This Row],[Quantité corrigé]]*Table1[[#This Row],[Prix_Unitaire_HT]]</f>
        <v>65.849999999999994</v>
      </c>
    </row>
    <row r="602" spans="1:9" x14ac:dyDescent="0.25">
      <c r="A602" t="s">
        <v>809</v>
      </c>
      <c r="B602" t="s">
        <v>807</v>
      </c>
      <c r="C602" s="2" t="str">
        <f t="shared" si="12"/>
        <v>juillet</v>
      </c>
      <c r="D602" t="s">
        <v>61</v>
      </c>
      <c r="E602" t="s">
        <v>1579</v>
      </c>
      <c r="F602">
        <v>6</v>
      </c>
      <c r="G602" t="s">
        <v>17</v>
      </c>
      <c r="H602">
        <v>1.2</v>
      </c>
      <c r="I602">
        <f>Table1[[#This Row],[Quantité corrigé]]*Table1[[#This Row],[Prix_Unitaire_HT]]</f>
        <v>7.1999999999999993</v>
      </c>
    </row>
    <row r="603" spans="1:9" x14ac:dyDescent="0.25">
      <c r="A603" t="s">
        <v>810</v>
      </c>
      <c r="B603" t="s">
        <v>807</v>
      </c>
      <c r="C603" s="2" t="str">
        <f t="shared" si="12"/>
        <v>juillet</v>
      </c>
      <c r="D603" t="s">
        <v>19</v>
      </c>
      <c r="E603" t="s">
        <v>1580</v>
      </c>
      <c r="F603">
        <v>8</v>
      </c>
      <c r="G603" t="s">
        <v>21</v>
      </c>
      <c r="H603">
        <v>4.16</v>
      </c>
      <c r="I603">
        <f>Table1[[#This Row],[Quantité corrigé]]*Table1[[#This Row],[Prix_Unitaire_HT]]</f>
        <v>33.28</v>
      </c>
    </row>
    <row r="604" spans="1:9" x14ac:dyDescent="0.25">
      <c r="A604" t="s">
        <v>811</v>
      </c>
      <c r="B604" t="s">
        <v>807</v>
      </c>
      <c r="C604" s="2" t="str">
        <f t="shared" si="12"/>
        <v>juillet</v>
      </c>
      <c r="D604" t="s">
        <v>19</v>
      </c>
      <c r="E604" t="s">
        <v>1581</v>
      </c>
      <c r="F604">
        <v>8</v>
      </c>
      <c r="G604" t="s">
        <v>25</v>
      </c>
      <c r="H604">
        <v>20.96</v>
      </c>
      <c r="I604">
        <f>Table1[[#This Row],[Quantité corrigé]]*Table1[[#This Row],[Prix_Unitaire_HT]]</f>
        <v>167.68</v>
      </c>
    </row>
    <row r="605" spans="1:9" x14ac:dyDescent="0.25">
      <c r="A605" t="s">
        <v>812</v>
      </c>
      <c r="B605" t="s">
        <v>807</v>
      </c>
      <c r="C605" s="2" t="str">
        <f t="shared" si="12"/>
        <v>juillet</v>
      </c>
      <c r="D605" t="s">
        <v>19</v>
      </c>
      <c r="E605" t="s">
        <v>1582</v>
      </c>
      <c r="F605">
        <v>6</v>
      </c>
      <c r="G605" t="s">
        <v>29</v>
      </c>
      <c r="H605">
        <v>10.49</v>
      </c>
      <c r="I605">
        <f>Table1[[#This Row],[Quantité corrigé]]*Table1[[#This Row],[Prix_Unitaire_HT]]</f>
        <v>62.94</v>
      </c>
    </row>
    <row r="606" spans="1:9" x14ac:dyDescent="0.25">
      <c r="A606" t="s">
        <v>813</v>
      </c>
      <c r="B606" t="s">
        <v>814</v>
      </c>
      <c r="C606" s="2" t="str">
        <f t="shared" si="12"/>
        <v>juillet</v>
      </c>
      <c r="D606" t="s">
        <v>66</v>
      </c>
      <c r="E606" t="s">
        <v>1583</v>
      </c>
      <c r="F606">
        <v>10</v>
      </c>
      <c r="G606" t="s">
        <v>17</v>
      </c>
      <c r="H606">
        <v>9.11</v>
      </c>
      <c r="I606">
        <f>Table1[[#This Row],[Quantité corrigé]]*Table1[[#This Row],[Prix_Unitaire_HT]]</f>
        <v>91.1</v>
      </c>
    </row>
    <row r="607" spans="1:9" x14ac:dyDescent="0.25">
      <c r="A607" t="s">
        <v>815</v>
      </c>
      <c r="B607" t="s">
        <v>814</v>
      </c>
      <c r="C607" s="2" t="str">
        <f t="shared" si="12"/>
        <v>juillet</v>
      </c>
      <c r="D607" t="s">
        <v>66</v>
      </c>
      <c r="E607" t="s">
        <v>1584</v>
      </c>
      <c r="F607">
        <v>6</v>
      </c>
      <c r="G607" t="s">
        <v>17</v>
      </c>
      <c r="H607">
        <v>7.54</v>
      </c>
      <c r="I607">
        <f>Table1[[#This Row],[Quantité corrigé]]*Table1[[#This Row],[Prix_Unitaire_HT]]</f>
        <v>45.24</v>
      </c>
    </row>
    <row r="608" spans="1:9" x14ac:dyDescent="0.25">
      <c r="A608" t="s">
        <v>816</v>
      </c>
      <c r="B608" t="s">
        <v>814</v>
      </c>
      <c r="C608" s="2" t="str">
        <f t="shared" si="12"/>
        <v>juillet</v>
      </c>
      <c r="D608" t="s">
        <v>69</v>
      </c>
      <c r="E608" t="s">
        <v>1585</v>
      </c>
      <c r="F608">
        <v>8</v>
      </c>
      <c r="G608" t="s">
        <v>39</v>
      </c>
      <c r="H608">
        <v>5.82</v>
      </c>
      <c r="I608">
        <f>Table1[[#This Row],[Quantité corrigé]]*Table1[[#This Row],[Prix_Unitaire_HT]]</f>
        <v>46.56</v>
      </c>
    </row>
    <row r="609" spans="1:9" x14ac:dyDescent="0.25">
      <c r="A609" t="s">
        <v>817</v>
      </c>
      <c r="B609" t="s">
        <v>814</v>
      </c>
      <c r="C609" s="2" t="str">
        <f t="shared" si="12"/>
        <v>juillet</v>
      </c>
      <c r="D609" t="s">
        <v>69</v>
      </c>
      <c r="E609" t="s">
        <v>1586</v>
      </c>
      <c r="F609">
        <v>8</v>
      </c>
      <c r="G609" t="s">
        <v>43</v>
      </c>
      <c r="H609">
        <v>3.91</v>
      </c>
      <c r="I609">
        <f>Table1[[#This Row],[Quantité corrigé]]*Table1[[#This Row],[Prix_Unitaire_HT]]</f>
        <v>31.28</v>
      </c>
    </row>
    <row r="610" spans="1:9" x14ac:dyDescent="0.25">
      <c r="A610" t="s">
        <v>818</v>
      </c>
      <c r="B610" t="s">
        <v>819</v>
      </c>
      <c r="C610" s="2" t="str">
        <f t="shared" si="12"/>
        <v>juillet</v>
      </c>
      <c r="D610" t="s">
        <v>19</v>
      </c>
      <c r="E610" t="s">
        <v>1580</v>
      </c>
      <c r="F610">
        <v>6</v>
      </c>
      <c r="G610" t="s">
        <v>21</v>
      </c>
      <c r="H610">
        <v>4.3099999999999996</v>
      </c>
      <c r="I610">
        <f>Table1[[#This Row],[Quantité corrigé]]*Table1[[#This Row],[Prix_Unitaire_HT]]</f>
        <v>25.86</v>
      </c>
    </row>
    <row r="611" spans="1:9" x14ac:dyDescent="0.25">
      <c r="A611" t="s">
        <v>820</v>
      </c>
      <c r="B611" t="s">
        <v>819</v>
      </c>
      <c r="C611" s="2" t="str">
        <f t="shared" si="12"/>
        <v>juillet</v>
      </c>
      <c r="D611" t="s">
        <v>19</v>
      </c>
      <c r="E611" t="s">
        <v>1581</v>
      </c>
      <c r="F611">
        <v>8</v>
      </c>
      <c r="G611" t="s">
        <v>25</v>
      </c>
      <c r="H611">
        <v>22.21</v>
      </c>
      <c r="I611">
        <f>Table1[[#This Row],[Quantité corrigé]]*Table1[[#This Row],[Prix_Unitaire_HT]]</f>
        <v>177.68</v>
      </c>
    </row>
    <row r="612" spans="1:9" x14ac:dyDescent="0.25">
      <c r="A612" t="s">
        <v>821</v>
      </c>
      <c r="B612" t="s">
        <v>819</v>
      </c>
      <c r="C612" s="2" t="str">
        <f t="shared" si="12"/>
        <v>juillet</v>
      </c>
      <c r="D612" t="s">
        <v>19</v>
      </c>
      <c r="E612" t="s">
        <v>1582</v>
      </c>
      <c r="F612">
        <v>8</v>
      </c>
      <c r="G612" t="s">
        <v>29</v>
      </c>
      <c r="H612">
        <v>9.98</v>
      </c>
      <c r="I612">
        <f>Table1[[#This Row],[Quantité corrigé]]*Table1[[#This Row],[Prix_Unitaire_HT]]</f>
        <v>79.84</v>
      </c>
    </row>
    <row r="613" spans="1:9" x14ac:dyDescent="0.25">
      <c r="A613" t="s">
        <v>822</v>
      </c>
      <c r="B613" t="s">
        <v>819</v>
      </c>
      <c r="C613" s="2" t="str">
        <f t="shared" si="12"/>
        <v>juillet</v>
      </c>
      <c r="D613" t="s">
        <v>50</v>
      </c>
      <c r="E613" t="s">
        <v>1587</v>
      </c>
      <c r="F613">
        <v>3</v>
      </c>
      <c r="G613" t="s">
        <v>52</v>
      </c>
      <c r="H613">
        <v>18.739999999999998</v>
      </c>
      <c r="I613">
        <f>Table1[[#This Row],[Quantité corrigé]]*Table1[[#This Row],[Prix_Unitaire_HT]]</f>
        <v>56.22</v>
      </c>
    </row>
    <row r="614" spans="1:9" x14ac:dyDescent="0.25">
      <c r="A614" t="s">
        <v>823</v>
      </c>
      <c r="B614" t="s">
        <v>819</v>
      </c>
      <c r="C614" s="2" t="str">
        <f t="shared" si="12"/>
        <v>juillet</v>
      </c>
      <c r="D614" t="s">
        <v>195</v>
      </c>
      <c r="E614" t="s">
        <v>1588</v>
      </c>
      <c r="F614">
        <v>8</v>
      </c>
      <c r="G614" t="s">
        <v>17</v>
      </c>
      <c r="H614">
        <v>9.25</v>
      </c>
      <c r="I614">
        <f>Table1[[#This Row],[Quantité corrigé]]*Table1[[#This Row],[Prix_Unitaire_HT]]</f>
        <v>74</v>
      </c>
    </row>
    <row r="615" spans="1:9" x14ac:dyDescent="0.25">
      <c r="A615" t="s">
        <v>824</v>
      </c>
      <c r="B615" t="s">
        <v>825</v>
      </c>
      <c r="C615" s="2" t="str">
        <f t="shared" si="12"/>
        <v>juillet</v>
      </c>
      <c r="D615" t="s">
        <v>61</v>
      </c>
      <c r="E615" t="s">
        <v>1577</v>
      </c>
      <c r="F615">
        <v>3</v>
      </c>
      <c r="G615" t="s">
        <v>11</v>
      </c>
      <c r="H615">
        <v>14.84</v>
      </c>
      <c r="I615">
        <f>Table1[[#This Row],[Quantité corrigé]]*Table1[[#This Row],[Prix_Unitaire_HT]]</f>
        <v>44.519999999999996</v>
      </c>
    </row>
    <row r="616" spans="1:9" x14ac:dyDescent="0.25">
      <c r="A616" t="s">
        <v>826</v>
      </c>
      <c r="B616" t="s">
        <v>825</v>
      </c>
      <c r="C616" s="2" t="str">
        <f t="shared" si="12"/>
        <v>juillet</v>
      </c>
      <c r="D616" t="s">
        <v>61</v>
      </c>
      <c r="E616" t="s">
        <v>1578</v>
      </c>
      <c r="F616">
        <v>5</v>
      </c>
      <c r="G616" t="s">
        <v>11</v>
      </c>
      <c r="H616">
        <v>12.94</v>
      </c>
      <c r="I616">
        <f>Table1[[#This Row],[Quantité corrigé]]*Table1[[#This Row],[Prix_Unitaire_HT]]</f>
        <v>64.7</v>
      </c>
    </row>
    <row r="617" spans="1:9" x14ac:dyDescent="0.25">
      <c r="A617" t="s">
        <v>827</v>
      </c>
      <c r="B617" t="s">
        <v>825</v>
      </c>
      <c r="C617" s="2" t="str">
        <f t="shared" si="12"/>
        <v>juillet</v>
      </c>
      <c r="D617" t="s">
        <v>61</v>
      </c>
      <c r="E617" t="s">
        <v>1579</v>
      </c>
      <c r="F617">
        <v>6</v>
      </c>
      <c r="G617" t="s">
        <v>17</v>
      </c>
      <c r="H617">
        <v>1.21</v>
      </c>
      <c r="I617">
        <f>Table1[[#This Row],[Quantité corrigé]]*Table1[[#This Row],[Prix_Unitaire_HT]]</f>
        <v>7.26</v>
      </c>
    </row>
    <row r="618" spans="1:9" x14ac:dyDescent="0.25">
      <c r="A618" t="s">
        <v>828</v>
      </c>
      <c r="B618" t="s">
        <v>829</v>
      </c>
      <c r="C618" s="2" t="str">
        <f t="shared" si="12"/>
        <v>juillet</v>
      </c>
      <c r="D618" t="s">
        <v>66</v>
      </c>
      <c r="E618" t="s">
        <v>1583</v>
      </c>
      <c r="F618">
        <v>10</v>
      </c>
      <c r="G618" t="s">
        <v>17</v>
      </c>
      <c r="H618">
        <v>9.32</v>
      </c>
      <c r="I618">
        <f>Table1[[#This Row],[Quantité corrigé]]*Table1[[#This Row],[Prix_Unitaire_HT]]</f>
        <v>93.2</v>
      </c>
    </row>
    <row r="619" spans="1:9" x14ac:dyDescent="0.25">
      <c r="A619" t="s">
        <v>830</v>
      </c>
      <c r="B619" t="s">
        <v>829</v>
      </c>
      <c r="C619" s="2" t="str">
        <f t="shared" si="12"/>
        <v>juillet</v>
      </c>
      <c r="D619" t="s">
        <v>66</v>
      </c>
      <c r="E619" t="s">
        <v>1584</v>
      </c>
      <c r="F619">
        <v>10</v>
      </c>
      <c r="G619" t="s">
        <v>17</v>
      </c>
      <c r="H619">
        <v>7.26</v>
      </c>
      <c r="I619">
        <f>Table1[[#This Row],[Quantité corrigé]]*Table1[[#This Row],[Prix_Unitaire_HT]]</f>
        <v>72.599999999999994</v>
      </c>
    </row>
    <row r="620" spans="1:9" x14ac:dyDescent="0.25">
      <c r="A620" t="s">
        <v>831</v>
      </c>
      <c r="B620" t="s">
        <v>829</v>
      </c>
      <c r="C620" s="2" t="str">
        <f t="shared" si="12"/>
        <v>juillet</v>
      </c>
      <c r="D620" t="s">
        <v>69</v>
      </c>
      <c r="E620" t="s">
        <v>1585</v>
      </c>
      <c r="F620">
        <v>12</v>
      </c>
      <c r="G620" t="s">
        <v>39</v>
      </c>
      <c r="H620">
        <v>5.79</v>
      </c>
      <c r="I620">
        <f>Table1[[#This Row],[Quantité corrigé]]*Table1[[#This Row],[Prix_Unitaire_HT]]</f>
        <v>69.48</v>
      </c>
    </row>
    <row r="621" spans="1:9" x14ac:dyDescent="0.25">
      <c r="A621" t="s">
        <v>832</v>
      </c>
      <c r="B621" t="s">
        <v>829</v>
      </c>
      <c r="C621" s="2" t="str">
        <f t="shared" si="12"/>
        <v>juillet</v>
      </c>
      <c r="D621" t="s">
        <v>69</v>
      </c>
      <c r="E621" t="s">
        <v>1586</v>
      </c>
      <c r="F621">
        <v>12</v>
      </c>
      <c r="G621" t="s">
        <v>43</v>
      </c>
      <c r="H621">
        <v>4.04</v>
      </c>
      <c r="I621">
        <f>Table1[[#This Row],[Quantité corrigé]]*Table1[[#This Row],[Prix_Unitaire_HT]]</f>
        <v>48.480000000000004</v>
      </c>
    </row>
    <row r="622" spans="1:9" x14ac:dyDescent="0.25">
      <c r="A622" t="s">
        <v>833</v>
      </c>
      <c r="B622" t="s">
        <v>834</v>
      </c>
      <c r="C622" s="2" t="str">
        <f t="shared" si="12"/>
        <v>juillet</v>
      </c>
      <c r="D622" t="s">
        <v>195</v>
      </c>
      <c r="E622" t="s">
        <v>1588</v>
      </c>
      <c r="F622">
        <v>10</v>
      </c>
      <c r="G622" t="s">
        <v>17</v>
      </c>
      <c r="H622">
        <v>9.74</v>
      </c>
      <c r="I622">
        <f>Table1[[#This Row],[Quantité corrigé]]*Table1[[#This Row],[Prix_Unitaire_HT]]</f>
        <v>97.4</v>
      </c>
    </row>
    <row r="623" spans="1:9" x14ac:dyDescent="0.25">
      <c r="A623" t="s">
        <v>835</v>
      </c>
      <c r="B623" t="s">
        <v>836</v>
      </c>
      <c r="C623" s="2" t="str">
        <f t="shared" si="12"/>
        <v>juillet</v>
      </c>
      <c r="D623" t="s">
        <v>61</v>
      </c>
      <c r="E623" t="s">
        <v>1577</v>
      </c>
      <c r="F623">
        <v>6</v>
      </c>
      <c r="G623" t="s">
        <v>11</v>
      </c>
      <c r="H623">
        <v>14.89</v>
      </c>
      <c r="I623">
        <f>Table1[[#This Row],[Quantité corrigé]]*Table1[[#This Row],[Prix_Unitaire_HT]]</f>
        <v>89.34</v>
      </c>
    </row>
    <row r="624" spans="1:9" x14ac:dyDescent="0.25">
      <c r="A624" t="s">
        <v>837</v>
      </c>
      <c r="B624" t="s">
        <v>836</v>
      </c>
      <c r="C624" s="2" t="str">
        <f t="shared" si="12"/>
        <v>juillet</v>
      </c>
      <c r="D624" t="s">
        <v>61</v>
      </c>
      <c r="E624" t="s">
        <v>1578</v>
      </c>
      <c r="F624">
        <v>3</v>
      </c>
      <c r="G624" t="s">
        <v>11</v>
      </c>
      <c r="H624">
        <v>13.48</v>
      </c>
      <c r="I624">
        <f>Table1[[#This Row],[Quantité corrigé]]*Table1[[#This Row],[Prix_Unitaire_HT]]</f>
        <v>40.44</v>
      </c>
    </row>
    <row r="625" spans="1:9" x14ac:dyDescent="0.25">
      <c r="A625" t="s">
        <v>838</v>
      </c>
      <c r="B625" t="s">
        <v>836</v>
      </c>
      <c r="C625" s="2" t="str">
        <f t="shared" si="12"/>
        <v>juillet</v>
      </c>
      <c r="D625" t="s">
        <v>61</v>
      </c>
      <c r="E625" t="s">
        <v>1579</v>
      </c>
      <c r="F625">
        <v>5</v>
      </c>
      <c r="G625" t="s">
        <v>17</v>
      </c>
      <c r="H625">
        <v>1.17</v>
      </c>
      <c r="I625">
        <f>Table1[[#This Row],[Quantité corrigé]]*Table1[[#This Row],[Prix_Unitaire_HT]]</f>
        <v>5.85</v>
      </c>
    </row>
    <row r="626" spans="1:9" x14ac:dyDescent="0.25">
      <c r="A626" t="s">
        <v>839</v>
      </c>
      <c r="B626" t="s">
        <v>836</v>
      </c>
      <c r="C626" s="2" t="str">
        <f t="shared" si="12"/>
        <v>juillet</v>
      </c>
      <c r="D626" t="s">
        <v>19</v>
      </c>
      <c r="E626" t="s">
        <v>1580</v>
      </c>
      <c r="F626">
        <v>10</v>
      </c>
      <c r="G626" t="s">
        <v>21</v>
      </c>
      <c r="H626">
        <v>4.08</v>
      </c>
      <c r="I626">
        <f>Table1[[#This Row],[Quantité corrigé]]*Table1[[#This Row],[Prix_Unitaire_HT]]</f>
        <v>40.799999999999997</v>
      </c>
    </row>
    <row r="627" spans="1:9" x14ac:dyDescent="0.25">
      <c r="A627" t="s">
        <v>840</v>
      </c>
      <c r="B627" t="s">
        <v>836</v>
      </c>
      <c r="C627" s="2" t="str">
        <f t="shared" si="12"/>
        <v>juillet</v>
      </c>
      <c r="D627" t="s">
        <v>19</v>
      </c>
      <c r="E627" t="s">
        <v>1581</v>
      </c>
      <c r="F627">
        <v>4</v>
      </c>
      <c r="G627" t="s">
        <v>25</v>
      </c>
      <c r="H627">
        <v>22.47</v>
      </c>
      <c r="I627">
        <f>Table1[[#This Row],[Quantité corrigé]]*Table1[[#This Row],[Prix_Unitaire_HT]]</f>
        <v>89.88</v>
      </c>
    </row>
    <row r="628" spans="1:9" x14ac:dyDescent="0.25">
      <c r="A628" t="s">
        <v>841</v>
      </c>
      <c r="B628" t="s">
        <v>836</v>
      </c>
      <c r="C628" s="2" t="str">
        <f t="shared" si="12"/>
        <v>juillet</v>
      </c>
      <c r="D628" t="s">
        <v>19</v>
      </c>
      <c r="E628" t="s">
        <v>1582</v>
      </c>
      <c r="F628">
        <v>8</v>
      </c>
      <c r="G628" t="s">
        <v>29</v>
      </c>
      <c r="H628">
        <v>10.3</v>
      </c>
      <c r="I628">
        <f>Table1[[#This Row],[Quantité corrigé]]*Table1[[#This Row],[Prix_Unitaire_HT]]</f>
        <v>82.4</v>
      </c>
    </row>
    <row r="629" spans="1:9" x14ac:dyDescent="0.25">
      <c r="A629" t="s">
        <v>842</v>
      </c>
      <c r="B629" t="s">
        <v>843</v>
      </c>
      <c r="C629" s="2" t="str">
        <f t="shared" si="12"/>
        <v>juillet</v>
      </c>
      <c r="D629" t="s">
        <v>66</v>
      </c>
      <c r="E629" t="s">
        <v>1583</v>
      </c>
      <c r="F629">
        <v>10</v>
      </c>
      <c r="G629" t="s">
        <v>17</v>
      </c>
      <c r="H629">
        <v>10.09</v>
      </c>
      <c r="I629">
        <f>Table1[[#This Row],[Quantité corrigé]]*Table1[[#This Row],[Prix_Unitaire_HT]]</f>
        <v>100.9</v>
      </c>
    </row>
    <row r="630" spans="1:9" x14ac:dyDescent="0.25">
      <c r="A630" t="s">
        <v>844</v>
      </c>
      <c r="B630" t="s">
        <v>843</v>
      </c>
      <c r="C630" s="2" t="str">
        <f t="shared" si="12"/>
        <v>juillet</v>
      </c>
      <c r="D630" t="s">
        <v>66</v>
      </c>
      <c r="E630" t="s">
        <v>1584</v>
      </c>
      <c r="F630">
        <v>6</v>
      </c>
      <c r="G630" t="s">
        <v>17</v>
      </c>
      <c r="H630">
        <v>6.74</v>
      </c>
      <c r="I630">
        <f>Table1[[#This Row],[Quantité corrigé]]*Table1[[#This Row],[Prix_Unitaire_HT]]</f>
        <v>40.44</v>
      </c>
    </row>
    <row r="631" spans="1:9" x14ac:dyDescent="0.25">
      <c r="A631" t="s">
        <v>845</v>
      </c>
      <c r="B631" t="s">
        <v>843</v>
      </c>
      <c r="C631" s="2" t="str">
        <f t="shared" si="12"/>
        <v>juillet</v>
      </c>
      <c r="D631" t="s">
        <v>69</v>
      </c>
      <c r="E631" t="s">
        <v>1585</v>
      </c>
      <c r="F631">
        <v>10</v>
      </c>
      <c r="G631" t="s">
        <v>39</v>
      </c>
      <c r="H631">
        <v>5.84</v>
      </c>
      <c r="I631">
        <f>Table1[[#This Row],[Quantité corrigé]]*Table1[[#This Row],[Prix_Unitaire_HT]]</f>
        <v>58.4</v>
      </c>
    </row>
    <row r="632" spans="1:9" x14ac:dyDescent="0.25">
      <c r="A632" t="s">
        <v>846</v>
      </c>
      <c r="B632" t="s">
        <v>843</v>
      </c>
      <c r="C632" s="2" t="str">
        <f t="shared" si="12"/>
        <v>juillet</v>
      </c>
      <c r="D632" t="s">
        <v>69</v>
      </c>
      <c r="E632" t="s">
        <v>1586</v>
      </c>
      <c r="F632">
        <v>5</v>
      </c>
      <c r="G632" t="s">
        <v>43</v>
      </c>
      <c r="H632">
        <v>3.92</v>
      </c>
      <c r="I632">
        <f>Table1[[#This Row],[Quantité corrigé]]*Table1[[#This Row],[Prix_Unitaire_HT]]</f>
        <v>19.600000000000001</v>
      </c>
    </row>
    <row r="633" spans="1:9" x14ac:dyDescent="0.25">
      <c r="A633" t="s">
        <v>847</v>
      </c>
      <c r="B633" t="s">
        <v>848</v>
      </c>
      <c r="C633" s="2" t="str">
        <f t="shared" si="12"/>
        <v>juillet</v>
      </c>
      <c r="D633" t="s">
        <v>19</v>
      </c>
      <c r="E633" t="s">
        <v>1580</v>
      </c>
      <c r="F633">
        <v>8</v>
      </c>
      <c r="G633" t="s">
        <v>21</v>
      </c>
      <c r="H633">
        <v>4.0999999999999996</v>
      </c>
      <c r="I633">
        <f>Table1[[#This Row],[Quantité corrigé]]*Table1[[#This Row],[Prix_Unitaire_HT]]</f>
        <v>32.799999999999997</v>
      </c>
    </row>
    <row r="634" spans="1:9" x14ac:dyDescent="0.25">
      <c r="A634" t="s">
        <v>849</v>
      </c>
      <c r="B634" t="s">
        <v>848</v>
      </c>
      <c r="C634" s="2" t="str">
        <f t="shared" si="12"/>
        <v>juillet</v>
      </c>
      <c r="D634" t="s">
        <v>19</v>
      </c>
      <c r="E634" t="s">
        <v>1581</v>
      </c>
      <c r="F634">
        <v>6</v>
      </c>
      <c r="G634" t="s">
        <v>25</v>
      </c>
      <c r="H634">
        <v>21.37</v>
      </c>
      <c r="I634">
        <f>Table1[[#This Row],[Quantité corrigé]]*Table1[[#This Row],[Prix_Unitaire_HT]]</f>
        <v>128.22</v>
      </c>
    </row>
    <row r="635" spans="1:9" x14ac:dyDescent="0.25">
      <c r="A635" t="s">
        <v>850</v>
      </c>
      <c r="B635" t="s">
        <v>848</v>
      </c>
      <c r="C635" s="2" t="str">
        <f t="shared" si="12"/>
        <v>juillet</v>
      </c>
      <c r="D635" t="s">
        <v>19</v>
      </c>
      <c r="E635" t="s">
        <v>1582</v>
      </c>
      <c r="F635">
        <v>8</v>
      </c>
      <c r="G635" t="s">
        <v>29</v>
      </c>
      <c r="H635">
        <v>10.34</v>
      </c>
      <c r="I635">
        <f>Table1[[#This Row],[Quantité corrigé]]*Table1[[#This Row],[Prix_Unitaire_HT]]</f>
        <v>82.72</v>
      </c>
    </row>
    <row r="636" spans="1:9" x14ac:dyDescent="0.25">
      <c r="A636" t="s">
        <v>851</v>
      </c>
      <c r="B636" t="s">
        <v>848</v>
      </c>
      <c r="C636" s="2" t="str">
        <f t="shared" si="12"/>
        <v>juillet</v>
      </c>
      <c r="D636" t="s">
        <v>50</v>
      </c>
      <c r="E636" t="s">
        <v>1587</v>
      </c>
      <c r="F636">
        <v>4</v>
      </c>
      <c r="G636" t="s">
        <v>52</v>
      </c>
      <c r="H636">
        <v>18.3</v>
      </c>
      <c r="I636">
        <f>Table1[[#This Row],[Quantité corrigé]]*Table1[[#This Row],[Prix_Unitaire_HT]]</f>
        <v>73.2</v>
      </c>
    </row>
    <row r="637" spans="1:9" x14ac:dyDescent="0.25">
      <c r="A637" t="s">
        <v>852</v>
      </c>
      <c r="B637" t="s">
        <v>848</v>
      </c>
      <c r="C637" s="2" t="str">
        <f t="shared" si="12"/>
        <v>juillet</v>
      </c>
      <c r="D637" t="s">
        <v>195</v>
      </c>
      <c r="E637" t="s">
        <v>1588</v>
      </c>
      <c r="F637">
        <v>4</v>
      </c>
      <c r="G637" t="s">
        <v>17</v>
      </c>
      <c r="H637">
        <v>9.7200000000000006</v>
      </c>
      <c r="I637">
        <f>Table1[[#This Row],[Quantité corrigé]]*Table1[[#This Row],[Prix_Unitaire_HT]]</f>
        <v>38.880000000000003</v>
      </c>
    </row>
    <row r="638" spans="1:9" x14ac:dyDescent="0.25">
      <c r="A638" t="s">
        <v>853</v>
      </c>
      <c r="B638" t="s">
        <v>854</v>
      </c>
      <c r="C638" s="2" t="str">
        <f t="shared" si="12"/>
        <v>juillet</v>
      </c>
      <c r="D638" t="s">
        <v>61</v>
      </c>
      <c r="E638" t="s">
        <v>1577</v>
      </c>
      <c r="F638">
        <v>3</v>
      </c>
      <c r="G638" t="s">
        <v>11</v>
      </c>
      <c r="H638">
        <v>15.25</v>
      </c>
      <c r="I638">
        <f>Table1[[#This Row],[Quantité corrigé]]*Table1[[#This Row],[Prix_Unitaire_HT]]</f>
        <v>45.75</v>
      </c>
    </row>
    <row r="639" spans="1:9" x14ac:dyDescent="0.25">
      <c r="A639" t="s">
        <v>855</v>
      </c>
      <c r="B639" t="s">
        <v>854</v>
      </c>
      <c r="C639" s="2" t="str">
        <f t="shared" si="12"/>
        <v>juillet</v>
      </c>
      <c r="D639" t="s">
        <v>61</v>
      </c>
      <c r="E639" t="s">
        <v>1578</v>
      </c>
      <c r="F639">
        <v>4</v>
      </c>
      <c r="G639" t="s">
        <v>11</v>
      </c>
      <c r="H639">
        <v>13.1</v>
      </c>
      <c r="I639">
        <f>Table1[[#This Row],[Quantité corrigé]]*Table1[[#This Row],[Prix_Unitaire_HT]]</f>
        <v>52.4</v>
      </c>
    </row>
    <row r="640" spans="1:9" x14ac:dyDescent="0.25">
      <c r="A640" t="s">
        <v>856</v>
      </c>
      <c r="B640" t="s">
        <v>854</v>
      </c>
      <c r="C640" s="2" t="str">
        <f t="shared" si="12"/>
        <v>juillet</v>
      </c>
      <c r="D640" t="s">
        <v>61</v>
      </c>
      <c r="E640" t="s">
        <v>1579</v>
      </c>
      <c r="F640">
        <v>6</v>
      </c>
      <c r="G640" t="s">
        <v>17</v>
      </c>
      <c r="H640">
        <v>1.22</v>
      </c>
      <c r="I640">
        <f>Table1[[#This Row],[Quantité corrigé]]*Table1[[#This Row],[Prix_Unitaire_HT]]</f>
        <v>7.32</v>
      </c>
    </row>
    <row r="641" spans="1:9" x14ac:dyDescent="0.25">
      <c r="A641" t="s">
        <v>857</v>
      </c>
      <c r="B641" t="s">
        <v>858</v>
      </c>
      <c r="C641" s="2" t="str">
        <f t="shared" si="12"/>
        <v>juillet</v>
      </c>
      <c r="D641" t="s">
        <v>66</v>
      </c>
      <c r="E641" t="s">
        <v>1583</v>
      </c>
      <c r="F641">
        <v>10</v>
      </c>
      <c r="G641" t="s">
        <v>17</v>
      </c>
      <c r="H641">
        <v>9.7899999999999991</v>
      </c>
      <c r="I641">
        <f>Table1[[#This Row],[Quantité corrigé]]*Table1[[#This Row],[Prix_Unitaire_HT]]</f>
        <v>97.899999999999991</v>
      </c>
    </row>
    <row r="642" spans="1:9" x14ac:dyDescent="0.25">
      <c r="A642" t="s">
        <v>859</v>
      </c>
      <c r="B642" t="s">
        <v>858</v>
      </c>
      <c r="C642" s="2" t="str">
        <f t="shared" ref="C642:C705" si="13">TEXT(DATE(2024,MID(B642,4,2),_xlfn.TEXTBEFORE(B642,"/",1)),"mmmm")</f>
        <v>juillet</v>
      </c>
      <c r="D642" t="s">
        <v>66</v>
      </c>
      <c r="E642" t="s">
        <v>1584</v>
      </c>
      <c r="F642">
        <v>8</v>
      </c>
      <c r="G642" t="s">
        <v>17</v>
      </c>
      <c r="H642">
        <v>7.09</v>
      </c>
      <c r="I642">
        <f>Table1[[#This Row],[Quantité corrigé]]*Table1[[#This Row],[Prix_Unitaire_HT]]</f>
        <v>56.72</v>
      </c>
    </row>
    <row r="643" spans="1:9" x14ac:dyDescent="0.25">
      <c r="A643" t="s">
        <v>860</v>
      </c>
      <c r="B643" t="s">
        <v>858</v>
      </c>
      <c r="C643" s="2" t="str">
        <f t="shared" si="13"/>
        <v>juillet</v>
      </c>
      <c r="D643" t="s">
        <v>69</v>
      </c>
      <c r="E643" t="s">
        <v>1585</v>
      </c>
      <c r="F643">
        <v>12</v>
      </c>
      <c r="G643" t="s">
        <v>39</v>
      </c>
      <c r="H643">
        <v>5.84</v>
      </c>
      <c r="I643">
        <f>Table1[[#This Row],[Quantité corrigé]]*Table1[[#This Row],[Prix_Unitaire_HT]]</f>
        <v>70.08</v>
      </c>
    </row>
    <row r="644" spans="1:9" x14ac:dyDescent="0.25">
      <c r="A644" t="s">
        <v>861</v>
      </c>
      <c r="B644" t="s">
        <v>858</v>
      </c>
      <c r="C644" s="2" t="str">
        <f t="shared" si="13"/>
        <v>juillet</v>
      </c>
      <c r="D644" t="s">
        <v>69</v>
      </c>
      <c r="E644" t="s">
        <v>1586</v>
      </c>
      <c r="F644">
        <v>5</v>
      </c>
      <c r="G644" t="s">
        <v>43</v>
      </c>
      <c r="H644">
        <v>4.03</v>
      </c>
      <c r="I644">
        <f>Table1[[#This Row],[Quantité corrigé]]*Table1[[#This Row],[Prix_Unitaire_HT]]</f>
        <v>20.150000000000002</v>
      </c>
    </row>
    <row r="645" spans="1:9" x14ac:dyDescent="0.25">
      <c r="A645" t="s">
        <v>862</v>
      </c>
      <c r="B645" t="s">
        <v>863</v>
      </c>
      <c r="C645" s="2" t="str">
        <f t="shared" si="13"/>
        <v>juillet</v>
      </c>
      <c r="D645" t="s">
        <v>195</v>
      </c>
      <c r="E645" t="s">
        <v>1588</v>
      </c>
      <c r="F645">
        <v>8</v>
      </c>
      <c r="G645" t="s">
        <v>17</v>
      </c>
      <c r="H645">
        <v>9.27</v>
      </c>
      <c r="I645">
        <f>Table1[[#This Row],[Quantité corrigé]]*Table1[[#This Row],[Prix_Unitaire_HT]]</f>
        <v>74.16</v>
      </c>
    </row>
    <row r="646" spans="1:9" x14ac:dyDescent="0.25">
      <c r="A646" t="s">
        <v>864</v>
      </c>
      <c r="B646" t="s">
        <v>865</v>
      </c>
      <c r="C646" s="2" t="str">
        <f t="shared" si="13"/>
        <v>juillet</v>
      </c>
      <c r="D646" t="s">
        <v>61</v>
      </c>
      <c r="E646" t="s">
        <v>1577</v>
      </c>
      <c r="F646">
        <v>6</v>
      </c>
      <c r="G646" t="s">
        <v>11</v>
      </c>
      <c r="H646">
        <v>14.25</v>
      </c>
      <c r="I646">
        <f>Table1[[#This Row],[Quantité corrigé]]*Table1[[#This Row],[Prix_Unitaire_HT]]</f>
        <v>85.5</v>
      </c>
    </row>
    <row r="647" spans="1:9" x14ac:dyDescent="0.25">
      <c r="A647" t="s">
        <v>866</v>
      </c>
      <c r="B647" t="s">
        <v>865</v>
      </c>
      <c r="C647" s="2" t="str">
        <f t="shared" si="13"/>
        <v>juillet</v>
      </c>
      <c r="D647" t="s">
        <v>61</v>
      </c>
      <c r="E647" t="s">
        <v>1578</v>
      </c>
      <c r="F647">
        <v>6</v>
      </c>
      <c r="G647" t="s">
        <v>11</v>
      </c>
      <c r="H647">
        <v>13.12</v>
      </c>
      <c r="I647">
        <f>Table1[[#This Row],[Quantité corrigé]]*Table1[[#This Row],[Prix_Unitaire_HT]]</f>
        <v>78.72</v>
      </c>
    </row>
    <row r="648" spans="1:9" x14ac:dyDescent="0.25">
      <c r="A648" t="s">
        <v>867</v>
      </c>
      <c r="B648" t="s">
        <v>865</v>
      </c>
      <c r="C648" s="2" t="str">
        <f t="shared" si="13"/>
        <v>juillet</v>
      </c>
      <c r="D648" t="s">
        <v>61</v>
      </c>
      <c r="E648" t="s">
        <v>1579</v>
      </c>
      <c r="F648">
        <v>4</v>
      </c>
      <c r="G648" t="s">
        <v>17</v>
      </c>
      <c r="H648">
        <v>1.23</v>
      </c>
      <c r="I648">
        <f>Table1[[#This Row],[Quantité corrigé]]*Table1[[#This Row],[Prix_Unitaire_HT]]</f>
        <v>4.92</v>
      </c>
    </row>
    <row r="649" spans="1:9" x14ac:dyDescent="0.25">
      <c r="A649" t="s">
        <v>868</v>
      </c>
      <c r="B649" t="s">
        <v>865</v>
      </c>
      <c r="C649" s="2" t="str">
        <f t="shared" si="13"/>
        <v>juillet</v>
      </c>
      <c r="D649" t="s">
        <v>19</v>
      </c>
      <c r="E649" t="s">
        <v>1580</v>
      </c>
      <c r="F649">
        <v>4</v>
      </c>
      <c r="G649" t="s">
        <v>21</v>
      </c>
      <c r="H649">
        <v>4.4800000000000004</v>
      </c>
      <c r="I649">
        <f>Table1[[#This Row],[Quantité corrigé]]*Table1[[#This Row],[Prix_Unitaire_HT]]</f>
        <v>17.920000000000002</v>
      </c>
    </row>
    <row r="650" spans="1:9" x14ac:dyDescent="0.25">
      <c r="A650" t="s">
        <v>869</v>
      </c>
      <c r="B650" t="s">
        <v>865</v>
      </c>
      <c r="C650" s="2" t="str">
        <f t="shared" si="13"/>
        <v>juillet</v>
      </c>
      <c r="D650" t="s">
        <v>19</v>
      </c>
      <c r="E650" t="s">
        <v>1581</v>
      </c>
      <c r="F650">
        <v>6</v>
      </c>
      <c r="G650" t="s">
        <v>25</v>
      </c>
      <c r="H650">
        <v>20.95</v>
      </c>
      <c r="I650">
        <f>Table1[[#This Row],[Quantité corrigé]]*Table1[[#This Row],[Prix_Unitaire_HT]]</f>
        <v>125.69999999999999</v>
      </c>
    </row>
    <row r="651" spans="1:9" x14ac:dyDescent="0.25">
      <c r="A651" t="s">
        <v>870</v>
      </c>
      <c r="B651" t="s">
        <v>865</v>
      </c>
      <c r="C651" s="2" t="str">
        <f t="shared" si="13"/>
        <v>juillet</v>
      </c>
      <c r="D651" t="s">
        <v>19</v>
      </c>
      <c r="E651" t="s">
        <v>1582</v>
      </c>
      <c r="F651">
        <v>10</v>
      </c>
      <c r="G651" t="s">
        <v>29</v>
      </c>
      <c r="H651">
        <v>10.57</v>
      </c>
      <c r="I651">
        <f>Table1[[#This Row],[Quantité corrigé]]*Table1[[#This Row],[Prix_Unitaire_HT]]</f>
        <v>105.7</v>
      </c>
    </row>
    <row r="652" spans="1:9" x14ac:dyDescent="0.25">
      <c r="A652" t="s">
        <v>871</v>
      </c>
      <c r="B652" t="s">
        <v>872</v>
      </c>
      <c r="C652" s="2" t="str">
        <f t="shared" si="13"/>
        <v>juillet</v>
      </c>
      <c r="D652" t="s">
        <v>66</v>
      </c>
      <c r="E652" t="s">
        <v>1583</v>
      </c>
      <c r="F652">
        <v>8</v>
      </c>
      <c r="G652" t="s">
        <v>17</v>
      </c>
      <c r="H652">
        <v>10.37</v>
      </c>
      <c r="I652">
        <f>Table1[[#This Row],[Quantité corrigé]]*Table1[[#This Row],[Prix_Unitaire_HT]]</f>
        <v>82.96</v>
      </c>
    </row>
    <row r="653" spans="1:9" x14ac:dyDescent="0.25">
      <c r="A653" t="s">
        <v>873</v>
      </c>
      <c r="B653" t="s">
        <v>872</v>
      </c>
      <c r="C653" s="2" t="str">
        <f t="shared" si="13"/>
        <v>juillet</v>
      </c>
      <c r="D653" t="s">
        <v>66</v>
      </c>
      <c r="E653" t="s">
        <v>1584</v>
      </c>
      <c r="F653">
        <v>8</v>
      </c>
      <c r="G653" t="s">
        <v>17</v>
      </c>
      <c r="H653">
        <v>6.73</v>
      </c>
      <c r="I653">
        <f>Table1[[#This Row],[Quantité corrigé]]*Table1[[#This Row],[Prix_Unitaire_HT]]</f>
        <v>53.84</v>
      </c>
    </row>
    <row r="654" spans="1:9" x14ac:dyDescent="0.25">
      <c r="A654" t="s">
        <v>874</v>
      </c>
      <c r="B654" t="s">
        <v>872</v>
      </c>
      <c r="C654" s="2" t="str">
        <f t="shared" si="13"/>
        <v>juillet</v>
      </c>
      <c r="D654" t="s">
        <v>69</v>
      </c>
      <c r="E654" t="s">
        <v>1585</v>
      </c>
      <c r="F654">
        <v>8</v>
      </c>
      <c r="G654" t="s">
        <v>39</v>
      </c>
      <c r="H654">
        <v>5.92</v>
      </c>
      <c r="I654">
        <f>Table1[[#This Row],[Quantité corrigé]]*Table1[[#This Row],[Prix_Unitaire_HT]]</f>
        <v>47.36</v>
      </c>
    </row>
    <row r="655" spans="1:9" x14ac:dyDescent="0.25">
      <c r="A655" t="s">
        <v>875</v>
      </c>
      <c r="B655" t="s">
        <v>872</v>
      </c>
      <c r="C655" s="2" t="str">
        <f t="shared" si="13"/>
        <v>juillet</v>
      </c>
      <c r="D655" t="s">
        <v>69</v>
      </c>
      <c r="E655" t="s">
        <v>1586</v>
      </c>
      <c r="F655">
        <v>8</v>
      </c>
      <c r="G655" t="s">
        <v>43</v>
      </c>
      <c r="H655">
        <v>3.99</v>
      </c>
      <c r="I655">
        <f>Table1[[#This Row],[Quantité corrigé]]*Table1[[#This Row],[Prix_Unitaire_HT]]</f>
        <v>31.92</v>
      </c>
    </row>
    <row r="656" spans="1:9" x14ac:dyDescent="0.25">
      <c r="A656" t="s">
        <v>876</v>
      </c>
      <c r="B656" t="s">
        <v>877</v>
      </c>
      <c r="C656" s="2" t="str">
        <f t="shared" si="13"/>
        <v>juillet</v>
      </c>
      <c r="D656" t="s">
        <v>19</v>
      </c>
      <c r="E656" t="s">
        <v>1580</v>
      </c>
      <c r="F656">
        <v>4</v>
      </c>
      <c r="G656" t="s">
        <v>21</v>
      </c>
      <c r="H656">
        <v>4.37</v>
      </c>
      <c r="I656">
        <f>Table1[[#This Row],[Quantité corrigé]]*Table1[[#This Row],[Prix_Unitaire_HT]]</f>
        <v>17.48</v>
      </c>
    </row>
    <row r="657" spans="1:9" x14ac:dyDescent="0.25">
      <c r="A657" t="s">
        <v>878</v>
      </c>
      <c r="B657" t="s">
        <v>877</v>
      </c>
      <c r="C657" s="2" t="str">
        <f t="shared" si="13"/>
        <v>juillet</v>
      </c>
      <c r="D657" t="s">
        <v>19</v>
      </c>
      <c r="E657" t="s">
        <v>1581</v>
      </c>
      <c r="F657">
        <v>6</v>
      </c>
      <c r="G657" t="s">
        <v>25</v>
      </c>
      <c r="H657">
        <v>21.28</v>
      </c>
      <c r="I657">
        <f>Table1[[#This Row],[Quantité corrigé]]*Table1[[#This Row],[Prix_Unitaire_HT]]</f>
        <v>127.68</v>
      </c>
    </row>
    <row r="658" spans="1:9" x14ac:dyDescent="0.25">
      <c r="A658" t="s">
        <v>879</v>
      </c>
      <c r="B658" t="s">
        <v>877</v>
      </c>
      <c r="C658" s="2" t="str">
        <f t="shared" si="13"/>
        <v>juillet</v>
      </c>
      <c r="D658" t="s">
        <v>19</v>
      </c>
      <c r="E658" t="s">
        <v>1582</v>
      </c>
      <c r="F658">
        <v>8</v>
      </c>
      <c r="G658" t="s">
        <v>29</v>
      </c>
      <c r="H658">
        <v>9.32</v>
      </c>
      <c r="I658">
        <f>Table1[[#This Row],[Quantité corrigé]]*Table1[[#This Row],[Prix_Unitaire_HT]]</f>
        <v>74.56</v>
      </c>
    </row>
    <row r="659" spans="1:9" x14ac:dyDescent="0.25">
      <c r="A659" t="s">
        <v>880</v>
      </c>
      <c r="B659" t="s">
        <v>877</v>
      </c>
      <c r="C659" s="2" t="str">
        <f t="shared" si="13"/>
        <v>juillet</v>
      </c>
      <c r="D659" t="s">
        <v>50</v>
      </c>
      <c r="E659" t="s">
        <v>1587</v>
      </c>
      <c r="F659">
        <v>3</v>
      </c>
      <c r="G659" t="s">
        <v>52</v>
      </c>
      <c r="H659">
        <v>18.920000000000002</v>
      </c>
      <c r="I659">
        <f>Table1[[#This Row],[Quantité corrigé]]*Table1[[#This Row],[Prix_Unitaire_HT]]</f>
        <v>56.760000000000005</v>
      </c>
    </row>
    <row r="660" spans="1:9" x14ac:dyDescent="0.25">
      <c r="A660" t="s">
        <v>881</v>
      </c>
      <c r="B660" t="s">
        <v>877</v>
      </c>
      <c r="C660" s="2" t="str">
        <f t="shared" si="13"/>
        <v>juillet</v>
      </c>
      <c r="D660" t="s">
        <v>195</v>
      </c>
      <c r="E660" t="s">
        <v>1588</v>
      </c>
      <c r="F660">
        <v>4</v>
      </c>
      <c r="G660" t="s">
        <v>17</v>
      </c>
      <c r="H660">
        <v>8.49</v>
      </c>
      <c r="I660">
        <f>Table1[[#This Row],[Quantité corrigé]]*Table1[[#This Row],[Prix_Unitaire_HT]]</f>
        <v>33.96</v>
      </c>
    </row>
    <row r="661" spans="1:9" x14ac:dyDescent="0.25">
      <c r="A661" t="s">
        <v>882</v>
      </c>
      <c r="B661" t="s">
        <v>883</v>
      </c>
      <c r="C661" s="2" t="str">
        <f t="shared" si="13"/>
        <v>juillet</v>
      </c>
      <c r="D661" t="s">
        <v>61</v>
      </c>
      <c r="E661" t="s">
        <v>1577</v>
      </c>
      <c r="F661">
        <v>5</v>
      </c>
      <c r="G661" t="s">
        <v>11</v>
      </c>
      <c r="H661">
        <v>14.15</v>
      </c>
      <c r="I661">
        <f>Table1[[#This Row],[Quantité corrigé]]*Table1[[#This Row],[Prix_Unitaire_HT]]</f>
        <v>70.75</v>
      </c>
    </row>
    <row r="662" spans="1:9" x14ac:dyDescent="0.25">
      <c r="A662" t="s">
        <v>884</v>
      </c>
      <c r="B662" t="s">
        <v>883</v>
      </c>
      <c r="C662" s="2" t="str">
        <f t="shared" si="13"/>
        <v>juillet</v>
      </c>
      <c r="D662" t="s">
        <v>61</v>
      </c>
      <c r="E662" t="s">
        <v>1578</v>
      </c>
      <c r="F662">
        <v>4</v>
      </c>
      <c r="G662" t="s">
        <v>11</v>
      </c>
      <c r="H662">
        <v>12.89</v>
      </c>
      <c r="I662">
        <f>Table1[[#This Row],[Quantité corrigé]]*Table1[[#This Row],[Prix_Unitaire_HT]]</f>
        <v>51.56</v>
      </c>
    </row>
    <row r="663" spans="1:9" x14ac:dyDescent="0.25">
      <c r="A663" t="s">
        <v>885</v>
      </c>
      <c r="B663" t="s">
        <v>883</v>
      </c>
      <c r="C663" s="2" t="str">
        <f t="shared" si="13"/>
        <v>juillet</v>
      </c>
      <c r="D663" t="s">
        <v>61</v>
      </c>
      <c r="E663" t="s">
        <v>1579</v>
      </c>
      <c r="F663">
        <v>4</v>
      </c>
      <c r="G663" t="s">
        <v>17</v>
      </c>
      <c r="H663">
        <v>1.21</v>
      </c>
      <c r="I663">
        <f>Table1[[#This Row],[Quantité corrigé]]*Table1[[#This Row],[Prix_Unitaire_HT]]</f>
        <v>4.84</v>
      </c>
    </row>
    <row r="664" spans="1:9" x14ac:dyDescent="0.25">
      <c r="A664" t="s">
        <v>886</v>
      </c>
      <c r="B664" t="s">
        <v>887</v>
      </c>
      <c r="C664" s="2" t="str">
        <f t="shared" si="13"/>
        <v>juillet</v>
      </c>
      <c r="D664" t="s">
        <v>66</v>
      </c>
      <c r="E664" t="s">
        <v>1583</v>
      </c>
      <c r="F664">
        <v>12</v>
      </c>
      <c r="G664" t="s">
        <v>17</v>
      </c>
      <c r="H664">
        <v>10.46</v>
      </c>
      <c r="I664">
        <f>Table1[[#This Row],[Quantité corrigé]]*Table1[[#This Row],[Prix_Unitaire_HT]]</f>
        <v>125.52000000000001</v>
      </c>
    </row>
    <row r="665" spans="1:9" x14ac:dyDescent="0.25">
      <c r="A665" t="s">
        <v>888</v>
      </c>
      <c r="B665" t="s">
        <v>887</v>
      </c>
      <c r="C665" s="2" t="str">
        <f t="shared" si="13"/>
        <v>juillet</v>
      </c>
      <c r="D665" t="s">
        <v>66</v>
      </c>
      <c r="E665" t="s">
        <v>1584</v>
      </c>
      <c r="F665">
        <v>5</v>
      </c>
      <c r="G665" t="s">
        <v>17</v>
      </c>
      <c r="H665">
        <v>6.72</v>
      </c>
      <c r="I665">
        <f>Table1[[#This Row],[Quantité corrigé]]*Table1[[#This Row],[Prix_Unitaire_HT]]</f>
        <v>33.6</v>
      </c>
    </row>
    <row r="666" spans="1:9" x14ac:dyDescent="0.25">
      <c r="A666" t="s">
        <v>889</v>
      </c>
      <c r="B666" t="s">
        <v>887</v>
      </c>
      <c r="C666" s="2" t="str">
        <f t="shared" si="13"/>
        <v>juillet</v>
      </c>
      <c r="D666" t="s">
        <v>69</v>
      </c>
      <c r="E666" t="s">
        <v>1585</v>
      </c>
      <c r="F666">
        <v>12</v>
      </c>
      <c r="G666" t="s">
        <v>39</v>
      </c>
      <c r="H666">
        <v>5.89</v>
      </c>
      <c r="I666">
        <f>Table1[[#This Row],[Quantité corrigé]]*Table1[[#This Row],[Prix_Unitaire_HT]]</f>
        <v>70.679999999999993</v>
      </c>
    </row>
    <row r="667" spans="1:9" x14ac:dyDescent="0.25">
      <c r="A667" t="s">
        <v>890</v>
      </c>
      <c r="B667" t="s">
        <v>887</v>
      </c>
      <c r="C667" s="2" t="str">
        <f t="shared" si="13"/>
        <v>juillet</v>
      </c>
      <c r="D667" t="s">
        <v>69</v>
      </c>
      <c r="E667" t="s">
        <v>1586</v>
      </c>
      <c r="F667">
        <v>8</v>
      </c>
      <c r="G667" t="s">
        <v>43</v>
      </c>
      <c r="H667">
        <v>3.9</v>
      </c>
      <c r="I667">
        <f>Table1[[#This Row],[Quantité corrigé]]*Table1[[#This Row],[Prix_Unitaire_HT]]</f>
        <v>31.2</v>
      </c>
    </row>
    <row r="668" spans="1:9" x14ac:dyDescent="0.25">
      <c r="A668" t="s">
        <v>891</v>
      </c>
      <c r="B668" t="s">
        <v>892</v>
      </c>
      <c r="C668" s="2" t="str">
        <f t="shared" si="13"/>
        <v>juillet</v>
      </c>
      <c r="D668" t="s">
        <v>195</v>
      </c>
      <c r="E668" t="s">
        <v>1588</v>
      </c>
      <c r="F668">
        <v>8</v>
      </c>
      <c r="G668" t="s">
        <v>17</v>
      </c>
      <c r="H668">
        <v>8.7200000000000006</v>
      </c>
      <c r="I668">
        <f>Table1[[#This Row],[Quantité corrigé]]*Table1[[#This Row],[Prix_Unitaire_HT]]</f>
        <v>69.760000000000005</v>
      </c>
    </row>
    <row r="669" spans="1:9" x14ac:dyDescent="0.25">
      <c r="A669" t="s">
        <v>893</v>
      </c>
      <c r="B669" t="s">
        <v>894</v>
      </c>
      <c r="C669" s="2" t="str">
        <f t="shared" si="13"/>
        <v>juillet</v>
      </c>
      <c r="D669" t="s">
        <v>61</v>
      </c>
      <c r="E669" t="s">
        <v>1577</v>
      </c>
      <c r="F669">
        <v>5</v>
      </c>
      <c r="G669" t="s">
        <v>11</v>
      </c>
      <c r="H669">
        <v>14.23</v>
      </c>
      <c r="I669">
        <f>Table1[[#This Row],[Quantité corrigé]]*Table1[[#This Row],[Prix_Unitaire_HT]]</f>
        <v>71.150000000000006</v>
      </c>
    </row>
    <row r="670" spans="1:9" x14ac:dyDescent="0.25">
      <c r="A670" t="s">
        <v>895</v>
      </c>
      <c r="B670" t="s">
        <v>894</v>
      </c>
      <c r="C670" s="2" t="str">
        <f t="shared" si="13"/>
        <v>juillet</v>
      </c>
      <c r="D670" t="s">
        <v>61</v>
      </c>
      <c r="E670" t="s">
        <v>1578</v>
      </c>
      <c r="F670">
        <v>6</v>
      </c>
      <c r="G670" t="s">
        <v>11</v>
      </c>
      <c r="H670">
        <v>13.16</v>
      </c>
      <c r="I670">
        <f>Table1[[#This Row],[Quantité corrigé]]*Table1[[#This Row],[Prix_Unitaire_HT]]</f>
        <v>78.960000000000008</v>
      </c>
    </row>
    <row r="671" spans="1:9" x14ac:dyDescent="0.25">
      <c r="A671" t="s">
        <v>896</v>
      </c>
      <c r="B671" t="s">
        <v>894</v>
      </c>
      <c r="C671" s="2" t="str">
        <f t="shared" si="13"/>
        <v>juillet</v>
      </c>
      <c r="D671" t="s">
        <v>61</v>
      </c>
      <c r="E671" t="s">
        <v>1579</v>
      </c>
      <c r="F671">
        <v>6</v>
      </c>
      <c r="G671" t="s">
        <v>17</v>
      </c>
      <c r="H671">
        <v>1.21</v>
      </c>
      <c r="I671">
        <f>Table1[[#This Row],[Quantité corrigé]]*Table1[[#This Row],[Prix_Unitaire_HT]]</f>
        <v>7.26</v>
      </c>
    </row>
    <row r="672" spans="1:9" x14ac:dyDescent="0.25">
      <c r="A672" t="s">
        <v>897</v>
      </c>
      <c r="B672" t="s">
        <v>894</v>
      </c>
      <c r="C672" s="2" t="str">
        <f t="shared" si="13"/>
        <v>juillet</v>
      </c>
      <c r="D672" t="s">
        <v>19</v>
      </c>
      <c r="E672" t="s">
        <v>1580</v>
      </c>
      <c r="F672">
        <v>4</v>
      </c>
      <c r="G672" t="s">
        <v>21</v>
      </c>
      <c r="H672">
        <v>4.28</v>
      </c>
      <c r="I672">
        <f>Table1[[#This Row],[Quantité corrigé]]*Table1[[#This Row],[Prix_Unitaire_HT]]</f>
        <v>17.12</v>
      </c>
    </row>
    <row r="673" spans="1:9" x14ac:dyDescent="0.25">
      <c r="A673" t="s">
        <v>898</v>
      </c>
      <c r="B673" t="s">
        <v>894</v>
      </c>
      <c r="C673" s="2" t="str">
        <f t="shared" si="13"/>
        <v>juillet</v>
      </c>
      <c r="D673" t="s">
        <v>19</v>
      </c>
      <c r="E673" t="s">
        <v>1581</v>
      </c>
      <c r="F673">
        <v>10</v>
      </c>
      <c r="G673" t="s">
        <v>25</v>
      </c>
      <c r="H673">
        <v>21.28</v>
      </c>
      <c r="I673">
        <f>Table1[[#This Row],[Quantité corrigé]]*Table1[[#This Row],[Prix_Unitaire_HT]]</f>
        <v>212.8</v>
      </c>
    </row>
    <row r="674" spans="1:9" x14ac:dyDescent="0.25">
      <c r="A674" t="s">
        <v>899</v>
      </c>
      <c r="B674" t="s">
        <v>894</v>
      </c>
      <c r="C674" s="2" t="str">
        <f t="shared" si="13"/>
        <v>juillet</v>
      </c>
      <c r="D674" t="s">
        <v>19</v>
      </c>
      <c r="E674" t="s">
        <v>1582</v>
      </c>
      <c r="F674">
        <v>8</v>
      </c>
      <c r="G674" t="s">
        <v>29</v>
      </c>
      <c r="H674">
        <v>10.28</v>
      </c>
      <c r="I674">
        <f>Table1[[#This Row],[Quantité corrigé]]*Table1[[#This Row],[Prix_Unitaire_HT]]</f>
        <v>82.24</v>
      </c>
    </row>
    <row r="675" spans="1:9" x14ac:dyDescent="0.25">
      <c r="A675" t="s">
        <v>900</v>
      </c>
      <c r="B675" t="s">
        <v>901</v>
      </c>
      <c r="C675" s="2" t="str">
        <f t="shared" si="13"/>
        <v>juillet</v>
      </c>
      <c r="D675" t="s">
        <v>66</v>
      </c>
      <c r="E675" t="s">
        <v>1583</v>
      </c>
      <c r="F675">
        <v>6</v>
      </c>
      <c r="G675" t="s">
        <v>17</v>
      </c>
      <c r="H675">
        <v>8.39</v>
      </c>
      <c r="I675">
        <f>Table1[[#This Row],[Quantité corrigé]]*Table1[[#This Row],[Prix_Unitaire_HT]]</f>
        <v>50.34</v>
      </c>
    </row>
    <row r="676" spans="1:9" x14ac:dyDescent="0.25">
      <c r="A676" t="s">
        <v>902</v>
      </c>
      <c r="B676" t="s">
        <v>901</v>
      </c>
      <c r="C676" s="2" t="str">
        <f t="shared" si="13"/>
        <v>juillet</v>
      </c>
      <c r="D676" t="s">
        <v>66</v>
      </c>
      <c r="E676" t="s">
        <v>1584</v>
      </c>
      <c r="F676">
        <v>10</v>
      </c>
      <c r="G676" t="s">
        <v>17</v>
      </c>
      <c r="H676">
        <v>7.72</v>
      </c>
      <c r="I676">
        <f>Table1[[#This Row],[Quantité corrigé]]*Table1[[#This Row],[Prix_Unitaire_HT]]</f>
        <v>77.2</v>
      </c>
    </row>
    <row r="677" spans="1:9" x14ac:dyDescent="0.25">
      <c r="A677" t="s">
        <v>903</v>
      </c>
      <c r="B677" t="s">
        <v>901</v>
      </c>
      <c r="C677" s="2" t="str">
        <f t="shared" si="13"/>
        <v>juillet</v>
      </c>
      <c r="D677" t="s">
        <v>69</v>
      </c>
      <c r="E677" t="s">
        <v>1585</v>
      </c>
      <c r="F677">
        <v>12</v>
      </c>
      <c r="G677" t="s">
        <v>39</v>
      </c>
      <c r="H677">
        <v>5.83</v>
      </c>
      <c r="I677">
        <f>Table1[[#This Row],[Quantité corrigé]]*Table1[[#This Row],[Prix_Unitaire_HT]]</f>
        <v>69.960000000000008</v>
      </c>
    </row>
    <row r="678" spans="1:9" x14ac:dyDescent="0.25">
      <c r="A678" t="s">
        <v>904</v>
      </c>
      <c r="B678" t="s">
        <v>901</v>
      </c>
      <c r="C678" s="2" t="str">
        <f t="shared" si="13"/>
        <v>juillet</v>
      </c>
      <c r="D678" t="s">
        <v>69</v>
      </c>
      <c r="E678" t="s">
        <v>1586</v>
      </c>
      <c r="F678">
        <v>10</v>
      </c>
      <c r="G678" t="s">
        <v>43</v>
      </c>
      <c r="H678">
        <v>3.89</v>
      </c>
      <c r="I678">
        <f>Table1[[#This Row],[Quantité corrigé]]*Table1[[#This Row],[Prix_Unitaire_HT]]</f>
        <v>38.9</v>
      </c>
    </row>
    <row r="679" spans="1:9" x14ac:dyDescent="0.25">
      <c r="A679" t="s">
        <v>905</v>
      </c>
      <c r="B679" t="s">
        <v>906</v>
      </c>
      <c r="C679" s="2" t="str">
        <f t="shared" si="13"/>
        <v>juillet</v>
      </c>
      <c r="D679" t="s">
        <v>19</v>
      </c>
      <c r="E679" t="s">
        <v>1580</v>
      </c>
      <c r="F679">
        <v>6</v>
      </c>
      <c r="G679" t="s">
        <v>21</v>
      </c>
      <c r="H679">
        <v>4.5199999999999996</v>
      </c>
      <c r="I679">
        <f>Table1[[#This Row],[Quantité corrigé]]*Table1[[#This Row],[Prix_Unitaire_HT]]</f>
        <v>27.119999999999997</v>
      </c>
    </row>
    <row r="680" spans="1:9" x14ac:dyDescent="0.25">
      <c r="A680" t="s">
        <v>907</v>
      </c>
      <c r="B680" t="s">
        <v>906</v>
      </c>
      <c r="C680" s="2" t="str">
        <f t="shared" si="13"/>
        <v>juillet</v>
      </c>
      <c r="D680" t="s">
        <v>19</v>
      </c>
      <c r="E680" t="s">
        <v>1581</v>
      </c>
      <c r="F680">
        <v>4</v>
      </c>
      <c r="G680" t="s">
        <v>25</v>
      </c>
      <c r="H680">
        <v>22.58</v>
      </c>
      <c r="I680">
        <f>Table1[[#This Row],[Quantité corrigé]]*Table1[[#This Row],[Prix_Unitaire_HT]]</f>
        <v>90.32</v>
      </c>
    </row>
    <row r="681" spans="1:9" x14ac:dyDescent="0.25">
      <c r="A681" t="s">
        <v>908</v>
      </c>
      <c r="B681" t="s">
        <v>906</v>
      </c>
      <c r="C681" s="2" t="str">
        <f t="shared" si="13"/>
        <v>juillet</v>
      </c>
      <c r="D681" t="s">
        <v>19</v>
      </c>
      <c r="E681" t="s">
        <v>1582</v>
      </c>
      <c r="F681">
        <v>6</v>
      </c>
      <c r="G681" t="s">
        <v>29</v>
      </c>
      <c r="H681">
        <v>10.24</v>
      </c>
      <c r="I681">
        <f>Table1[[#This Row],[Quantité corrigé]]*Table1[[#This Row],[Prix_Unitaire_HT]]</f>
        <v>61.44</v>
      </c>
    </row>
    <row r="682" spans="1:9" x14ac:dyDescent="0.25">
      <c r="A682" t="s">
        <v>909</v>
      </c>
      <c r="B682" t="s">
        <v>906</v>
      </c>
      <c r="C682" s="2" t="str">
        <f t="shared" si="13"/>
        <v>juillet</v>
      </c>
      <c r="D682" t="s">
        <v>50</v>
      </c>
      <c r="E682" t="s">
        <v>1587</v>
      </c>
      <c r="F682">
        <v>2</v>
      </c>
      <c r="G682" t="s">
        <v>52</v>
      </c>
      <c r="H682">
        <v>19.3</v>
      </c>
      <c r="I682">
        <f>Table1[[#This Row],[Quantité corrigé]]*Table1[[#This Row],[Prix_Unitaire_HT]]</f>
        <v>38.6</v>
      </c>
    </row>
    <row r="683" spans="1:9" x14ac:dyDescent="0.25">
      <c r="A683" t="s">
        <v>910</v>
      </c>
      <c r="B683" t="s">
        <v>906</v>
      </c>
      <c r="C683" s="2" t="str">
        <f t="shared" si="13"/>
        <v>juillet</v>
      </c>
      <c r="D683" t="s">
        <v>195</v>
      </c>
      <c r="E683" t="s">
        <v>1588</v>
      </c>
      <c r="F683">
        <v>6</v>
      </c>
      <c r="G683" t="s">
        <v>17</v>
      </c>
      <c r="H683">
        <v>8.81</v>
      </c>
      <c r="I683">
        <f>Table1[[#This Row],[Quantité corrigé]]*Table1[[#This Row],[Prix_Unitaire_HT]]</f>
        <v>52.86</v>
      </c>
    </row>
    <row r="684" spans="1:9" x14ac:dyDescent="0.25">
      <c r="A684" t="s">
        <v>911</v>
      </c>
      <c r="B684" t="s">
        <v>912</v>
      </c>
      <c r="C684" s="2" t="str">
        <f t="shared" si="13"/>
        <v>juillet</v>
      </c>
      <c r="D684" t="s">
        <v>61</v>
      </c>
      <c r="E684" t="s">
        <v>1577</v>
      </c>
      <c r="F684">
        <v>3</v>
      </c>
      <c r="G684" t="s">
        <v>11</v>
      </c>
      <c r="H684">
        <v>14.18</v>
      </c>
      <c r="I684">
        <f>Table1[[#This Row],[Quantité corrigé]]*Table1[[#This Row],[Prix_Unitaire_HT]]</f>
        <v>42.54</v>
      </c>
    </row>
    <row r="685" spans="1:9" x14ac:dyDescent="0.25">
      <c r="A685" t="s">
        <v>913</v>
      </c>
      <c r="B685" t="s">
        <v>912</v>
      </c>
      <c r="C685" s="2" t="str">
        <f t="shared" si="13"/>
        <v>juillet</v>
      </c>
      <c r="D685" t="s">
        <v>61</v>
      </c>
      <c r="E685" t="s">
        <v>1578</v>
      </c>
      <c r="F685">
        <v>5</v>
      </c>
      <c r="G685" t="s">
        <v>11</v>
      </c>
      <c r="H685">
        <v>13</v>
      </c>
      <c r="I685">
        <f>Table1[[#This Row],[Quantité corrigé]]*Table1[[#This Row],[Prix_Unitaire_HT]]</f>
        <v>65</v>
      </c>
    </row>
    <row r="686" spans="1:9" x14ac:dyDescent="0.25">
      <c r="A686" t="s">
        <v>914</v>
      </c>
      <c r="B686" t="s">
        <v>912</v>
      </c>
      <c r="C686" s="2" t="str">
        <f t="shared" si="13"/>
        <v>juillet</v>
      </c>
      <c r="D686" t="s">
        <v>61</v>
      </c>
      <c r="E686" t="s">
        <v>1579</v>
      </c>
      <c r="F686">
        <v>6</v>
      </c>
      <c r="G686" t="s">
        <v>17</v>
      </c>
      <c r="H686">
        <v>1.25</v>
      </c>
      <c r="I686">
        <f>Table1[[#This Row],[Quantité corrigé]]*Table1[[#This Row],[Prix_Unitaire_HT]]</f>
        <v>7.5</v>
      </c>
    </row>
    <row r="687" spans="1:9" x14ac:dyDescent="0.25">
      <c r="A687" t="s">
        <v>915</v>
      </c>
      <c r="B687" t="s">
        <v>916</v>
      </c>
      <c r="C687" s="2" t="str">
        <f t="shared" si="13"/>
        <v>juillet</v>
      </c>
      <c r="D687" t="s">
        <v>66</v>
      </c>
      <c r="E687" t="s">
        <v>1583</v>
      </c>
      <c r="F687">
        <v>5</v>
      </c>
      <c r="G687" t="s">
        <v>17</v>
      </c>
      <c r="H687">
        <v>8.98</v>
      </c>
      <c r="I687">
        <f>Table1[[#This Row],[Quantité corrigé]]*Table1[[#This Row],[Prix_Unitaire_HT]]</f>
        <v>44.900000000000006</v>
      </c>
    </row>
    <row r="688" spans="1:9" x14ac:dyDescent="0.25">
      <c r="A688" t="s">
        <v>917</v>
      </c>
      <c r="B688" t="s">
        <v>916</v>
      </c>
      <c r="C688" s="2" t="str">
        <f t="shared" si="13"/>
        <v>juillet</v>
      </c>
      <c r="D688" t="s">
        <v>66</v>
      </c>
      <c r="E688" t="s">
        <v>1584</v>
      </c>
      <c r="F688">
        <v>12</v>
      </c>
      <c r="G688" t="s">
        <v>17</v>
      </c>
      <c r="H688">
        <v>7.2</v>
      </c>
      <c r="I688">
        <f>Table1[[#This Row],[Quantité corrigé]]*Table1[[#This Row],[Prix_Unitaire_HT]]</f>
        <v>86.4</v>
      </c>
    </row>
    <row r="689" spans="1:9" x14ac:dyDescent="0.25">
      <c r="A689" t="s">
        <v>918</v>
      </c>
      <c r="B689" t="s">
        <v>916</v>
      </c>
      <c r="C689" s="2" t="str">
        <f t="shared" si="13"/>
        <v>juillet</v>
      </c>
      <c r="D689" t="s">
        <v>69</v>
      </c>
      <c r="E689" t="s">
        <v>1585</v>
      </c>
      <c r="F689">
        <v>8</v>
      </c>
      <c r="G689" t="s">
        <v>39</v>
      </c>
      <c r="H689">
        <v>5.98</v>
      </c>
      <c r="I689">
        <f>Table1[[#This Row],[Quantité corrigé]]*Table1[[#This Row],[Prix_Unitaire_HT]]</f>
        <v>47.84</v>
      </c>
    </row>
    <row r="690" spans="1:9" x14ac:dyDescent="0.25">
      <c r="A690" t="s">
        <v>919</v>
      </c>
      <c r="B690" t="s">
        <v>916</v>
      </c>
      <c r="C690" s="2" t="str">
        <f t="shared" si="13"/>
        <v>juillet</v>
      </c>
      <c r="D690" t="s">
        <v>69</v>
      </c>
      <c r="E690" t="s">
        <v>1586</v>
      </c>
      <c r="F690">
        <v>5</v>
      </c>
      <c r="G690" t="s">
        <v>43</v>
      </c>
      <c r="H690">
        <v>4</v>
      </c>
      <c r="I690">
        <f>Table1[[#This Row],[Quantité corrigé]]*Table1[[#This Row],[Prix_Unitaire_HT]]</f>
        <v>20</v>
      </c>
    </row>
    <row r="691" spans="1:9" x14ac:dyDescent="0.25">
      <c r="A691" t="s">
        <v>920</v>
      </c>
      <c r="B691" t="s">
        <v>921</v>
      </c>
      <c r="C691" s="2" t="str">
        <f t="shared" si="13"/>
        <v>juillet</v>
      </c>
      <c r="D691" t="s">
        <v>195</v>
      </c>
      <c r="E691" t="s">
        <v>1588</v>
      </c>
      <c r="F691">
        <v>4</v>
      </c>
      <c r="G691" t="s">
        <v>17</v>
      </c>
      <c r="H691">
        <v>8.43</v>
      </c>
      <c r="I691">
        <f>Table1[[#This Row],[Quantité corrigé]]*Table1[[#This Row],[Prix_Unitaire_HT]]</f>
        <v>33.72</v>
      </c>
    </row>
    <row r="692" spans="1:9" x14ac:dyDescent="0.25">
      <c r="A692" t="s">
        <v>922</v>
      </c>
      <c r="B692" t="s">
        <v>923</v>
      </c>
      <c r="C692" s="2" t="str">
        <f t="shared" si="13"/>
        <v>juillet</v>
      </c>
      <c r="D692" t="s">
        <v>61</v>
      </c>
      <c r="E692" t="s">
        <v>1577</v>
      </c>
      <c r="F692">
        <v>5</v>
      </c>
      <c r="G692" t="s">
        <v>11</v>
      </c>
      <c r="H692">
        <v>14.46</v>
      </c>
      <c r="I692">
        <f>Table1[[#This Row],[Quantité corrigé]]*Table1[[#This Row],[Prix_Unitaire_HT]]</f>
        <v>72.300000000000011</v>
      </c>
    </row>
    <row r="693" spans="1:9" x14ac:dyDescent="0.25">
      <c r="A693" t="s">
        <v>924</v>
      </c>
      <c r="B693" t="s">
        <v>923</v>
      </c>
      <c r="C693" s="2" t="str">
        <f t="shared" si="13"/>
        <v>juillet</v>
      </c>
      <c r="D693" t="s">
        <v>61</v>
      </c>
      <c r="E693" t="s">
        <v>1578</v>
      </c>
      <c r="F693">
        <v>6</v>
      </c>
      <c r="G693" t="s">
        <v>11</v>
      </c>
      <c r="H693">
        <v>13.07</v>
      </c>
      <c r="I693">
        <f>Table1[[#This Row],[Quantité corrigé]]*Table1[[#This Row],[Prix_Unitaire_HT]]</f>
        <v>78.42</v>
      </c>
    </row>
    <row r="694" spans="1:9" x14ac:dyDescent="0.25">
      <c r="A694" t="s">
        <v>925</v>
      </c>
      <c r="B694" t="s">
        <v>923</v>
      </c>
      <c r="C694" s="2" t="str">
        <f t="shared" si="13"/>
        <v>juillet</v>
      </c>
      <c r="D694" t="s">
        <v>61</v>
      </c>
      <c r="E694" t="s">
        <v>1579</v>
      </c>
      <c r="F694">
        <v>5</v>
      </c>
      <c r="G694" t="s">
        <v>17</v>
      </c>
      <c r="H694">
        <v>1.25</v>
      </c>
      <c r="I694">
        <f>Table1[[#This Row],[Quantité corrigé]]*Table1[[#This Row],[Prix_Unitaire_HT]]</f>
        <v>6.25</v>
      </c>
    </row>
    <row r="695" spans="1:9" x14ac:dyDescent="0.25">
      <c r="A695" t="s">
        <v>926</v>
      </c>
      <c r="B695" t="s">
        <v>923</v>
      </c>
      <c r="C695" s="2" t="str">
        <f t="shared" si="13"/>
        <v>juillet</v>
      </c>
      <c r="D695" t="s">
        <v>19</v>
      </c>
      <c r="E695" t="s">
        <v>1580</v>
      </c>
      <c r="F695">
        <v>4</v>
      </c>
      <c r="G695" t="s">
        <v>21</v>
      </c>
      <c r="H695">
        <v>4.26</v>
      </c>
      <c r="I695">
        <f>Table1[[#This Row],[Quantité corrigé]]*Table1[[#This Row],[Prix_Unitaire_HT]]</f>
        <v>17.04</v>
      </c>
    </row>
    <row r="696" spans="1:9" x14ac:dyDescent="0.25">
      <c r="A696" t="s">
        <v>927</v>
      </c>
      <c r="B696" t="s">
        <v>923</v>
      </c>
      <c r="C696" s="2" t="str">
        <f t="shared" si="13"/>
        <v>juillet</v>
      </c>
      <c r="D696" t="s">
        <v>19</v>
      </c>
      <c r="E696" t="s">
        <v>1581</v>
      </c>
      <c r="F696">
        <v>4</v>
      </c>
      <c r="G696" t="s">
        <v>25</v>
      </c>
      <c r="H696">
        <v>23.63</v>
      </c>
      <c r="I696">
        <f>Table1[[#This Row],[Quantité corrigé]]*Table1[[#This Row],[Prix_Unitaire_HT]]</f>
        <v>94.52</v>
      </c>
    </row>
    <row r="697" spans="1:9" x14ac:dyDescent="0.25">
      <c r="A697" t="s">
        <v>928</v>
      </c>
      <c r="B697" t="s">
        <v>923</v>
      </c>
      <c r="C697" s="2" t="str">
        <f t="shared" si="13"/>
        <v>juillet</v>
      </c>
      <c r="D697" t="s">
        <v>19</v>
      </c>
      <c r="E697" t="s">
        <v>1582</v>
      </c>
      <c r="F697">
        <v>8</v>
      </c>
      <c r="G697" t="s">
        <v>29</v>
      </c>
      <c r="H697">
        <v>10.3</v>
      </c>
      <c r="I697">
        <f>Table1[[#This Row],[Quantité corrigé]]*Table1[[#This Row],[Prix_Unitaire_HT]]</f>
        <v>82.4</v>
      </c>
    </row>
    <row r="698" spans="1:9" x14ac:dyDescent="0.25">
      <c r="A698" t="s">
        <v>929</v>
      </c>
      <c r="B698" t="s">
        <v>930</v>
      </c>
      <c r="C698" s="2" t="str">
        <f t="shared" si="13"/>
        <v>juillet</v>
      </c>
      <c r="D698" t="s">
        <v>66</v>
      </c>
      <c r="E698" t="s">
        <v>1583</v>
      </c>
      <c r="F698">
        <v>6</v>
      </c>
      <c r="G698" t="s">
        <v>17</v>
      </c>
      <c r="H698">
        <v>8.3800000000000008</v>
      </c>
      <c r="I698">
        <f>Table1[[#This Row],[Quantité corrigé]]*Table1[[#This Row],[Prix_Unitaire_HT]]</f>
        <v>50.28</v>
      </c>
    </row>
    <row r="699" spans="1:9" x14ac:dyDescent="0.25">
      <c r="A699" t="s">
        <v>931</v>
      </c>
      <c r="B699" t="s">
        <v>930</v>
      </c>
      <c r="C699" s="2" t="str">
        <f t="shared" si="13"/>
        <v>juillet</v>
      </c>
      <c r="D699" t="s">
        <v>66</v>
      </c>
      <c r="E699" t="s">
        <v>1584</v>
      </c>
      <c r="F699">
        <v>6</v>
      </c>
      <c r="G699" t="s">
        <v>17</v>
      </c>
      <c r="H699">
        <v>7.48</v>
      </c>
      <c r="I699">
        <f>Table1[[#This Row],[Quantité corrigé]]*Table1[[#This Row],[Prix_Unitaire_HT]]</f>
        <v>44.88</v>
      </c>
    </row>
    <row r="700" spans="1:9" x14ac:dyDescent="0.25">
      <c r="A700" t="s">
        <v>932</v>
      </c>
      <c r="B700" t="s">
        <v>930</v>
      </c>
      <c r="C700" s="2" t="str">
        <f t="shared" si="13"/>
        <v>juillet</v>
      </c>
      <c r="D700" t="s">
        <v>69</v>
      </c>
      <c r="E700" t="s">
        <v>1585</v>
      </c>
      <c r="F700">
        <v>8</v>
      </c>
      <c r="G700" t="s">
        <v>39</v>
      </c>
      <c r="H700">
        <v>6.03</v>
      </c>
      <c r="I700">
        <f>Table1[[#This Row],[Quantité corrigé]]*Table1[[#This Row],[Prix_Unitaire_HT]]</f>
        <v>48.24</v>
      </c>
    </row>
    <row r="701" spans="1:9" x14ac:dyDescent="0.25">
      <c r="A701" t="s">
        <v>933</v>
      </c>
      <c r="B701" t="s">
        <v>930</v>
      </c>
      <c r="C701" s="2" t="str">
        <f t="shared" si="13"/>
        <v>juillet</v>
      </c>
      <c r="D701" t="s">
        <v>69</v>
      </c>
      <c r="E701" t="s">
        <v>1586</v>
      </c>
      <c r="F701">
        <v>12</v>
      </c>
      <c r="G701" t="s">
        <v>43</v>
      </c>
      <c r="H701">
        <v>3.86</v>
      </c>
      <c r="I701">
        <f>Table1[[#This Row],[Quantité corrigé]]*Table1[[#This Row],[Prix_Unitaire_HT]]</f>
        <v>46.32</v>
      </c>
    </row>
    <row r="702" spans="1:9" x14ac:dyDescent="0.25">
      <c r="A702" t="s">
        <v>934</v>
      </c>
      <c r="B702" t="s">
        <v>935</v>
      </c>
      <c r="C702" s="2" t="str">
        <f t="shared" si="13"/>
        <v>juillet</v>
      </c>
      <c r="D702" t="s">
        <v>19</v>
      </c>
      <c r="E702" t="s">
        <v>1580</v>
      </c>
      <c r="F702">
        <v>4</v>
      </c>
      <c r="G702" t="s">
        <v>21</v>
      </c>
      <c r="H702">
        <v>4.34</v>
      </c>
      <c r="I702">
        <f>Table1[[#This Row],[Quantité corrigé]]*Table1[[#This Row],[Prix_Unitaire_HT]]</f>
        <v>17.36</v>
      </c>
    </row>
    <row r="703" spans="1:9" x14ac:dyDescent="0.25">
      <c r="A703" t="s">
        <v>936</v>
      </c>
      <c r="B703" t="s">
        <v>935</v>
      </c>
      <c r="C703" s="2" t="str">
        <f t="shared" si="13"/>
        <v>juillet</v>
      </c>
      <c r="D703" t="s">
        <v>19</v>
      </c>
      <c r="E703" t="s">
        <v>1581</v>
      </c>
      <c r="F703">
        <v>10</v>
      </c>
      <c r="G703" t="s">
        <v>25</v>
      </c>
      <c r="H703">
        <v>23.07</v>
      </c>
      <c r="I703">
        <f>Table1[[#This Row],[Quantité corrigé]]*Table1[[#This Row],[Prix_Unitaire_HT]]</f>
        <v>230.7</v>
      </c>
    </row>
    <row r="704" spans="1:9" x14ac:dyDescent="0.25">
      <c r="A704" t="s">
        <v>937</v>
      </c>
      <c r="B704" t="s">
        <v>935</v>
      </c>
      <c r="C704" s="2" t="str">
        <f t="shared" si="13"/>
        <v>juillet</v>
      </c>
      <c r="D704" t="s">
        <v>19</v>
      </c>
      <c r="E704" t="s">
        <v>1582</v>
      </c>
      <c r="F704">
        <v>6</v>
      </c>
      <c r="G704" t="s">
        <v>29</v>
      </c>
      <c r="H704">
        <v>9.44</v>
      </c>
      <c r="I704">
        <f>Table1[[#This Row],[Quantité corrigé]]*Table1[[#This Row],[Prix_Unitaire_HT]]</f>
        <v>56.64</v>
      </c>
    </row>
    <row r="705" spans="1:9" x14ac:dyDescent="0.25">
      <c r="A705" t="s">
        <v>938</v>
      </c>
      <c r="B705" t="s">
        <v>935</v>
      </c>
      <c r="C705" s="2" t="str">
        <f t="shared" si="13"/>
        <v>juillet</v>
      </c>
      <c r="D705" t="s">
        <v>50</v>
      </c>
      <c r="E705" t="s">
        <v>1587</v>
      </c>
      <c r="F705">
        <v>2</v>
      </c>
      <c r="G705" t="s">
        <v>52</v>
      </c>
      <c r="H705">
        <v>19.38</v>
      </c>
      <c r="I705">
        <f>Table1[[#This Row],[Quantité corrigé]]*Table1[[#This Row],[Prix_Unitaire_HT]]</f>
        <v>38.76</v>
      </c>
    </row>
    <row r="706" spans="1:9" x14ac:dyDescent="0.25">
      <c r="A706" t="s">
        <v>939</v>
      </c>
      <c r="B706" t="s">
        <v>935</v>
      </c>
      <c r="C706" s="2" t="str">
        <f t="shared" ref="C706:C769" si="14">TEXT(DATE(2024,MID(B706,4,2),_xlfn.TEXTBEFORE(B706,"/",1)),"mmmm")</f>
        <v>juillet</v>
      </c>
      <c r="D706" t="s">
        <v>195</v>
      </c>
      <c r="E706" t="s">
        <v>1588</v>
      </c>
      <c r="F706">
        <v>6</v>
      </c>
      <c r="G706" t="s">
        <v>17</v>
      </c>
      <c r="H706">
        <v>8.43</v>
      </c>
      <c r="I706">
        <f>Table1[[#This Row],[Quantité corrigé]]*Table1[[#This Row],[Prix_Unitaire_HT]]</f>
        <v>50.58</v>
      </c>
    </row>
    <row r="707" spans="1:9" x14ac:dyDescent="0.25">
      <c r="A707" t="s">
        <v>940</v>
      </c>
      <c r="B707" t="s">
        <v>941</v>
      </c>
      <c r="C707" s="2" t="str">
        <f t="shared" si="14"/>
        <v>août</v>
      </c>
      <c r="D707" t="s">
        <v>61</v>
      </c>
      <c r="E707" t="s">
        <v>1577</v>
      </c>
      <c r="F707">
        <v>6</v>
      </c>
      <c r="G707" t="s">
        <v>11</v>
      </c>
      <c r="H707">
        <v>14.88</v>
      </c>
      <c r="I707">
        <f>Table1[[#This Row],[Quantité corrigé]]*Table1[[#This Row],[Prix_Unitaire_HT]]</f>
        <v>89.28</v>
      </c>
    </row>
    <row r="708" spans="1:9" x14ac:dyDescent="0.25">
      <c r="A708" t="s">
        <v>942</v>
      </c>
      <c r="B708" t="s">
        <v>941</v>
      </c>
      <c r="C708" s="2" t="str">
        <f t="shared" si="14"/>
        <v>août</v>
      </c>
      <c r="D708" t="s">
        <v>61</v>
      </c>
      <c r="E708" t="s">
        <v>1578</v>
      </c>
      <c r="F708">
        <v>3</v>
      </c>
      <c r="G708" t="s">
        <v>11</v>
      </c>
      <c r="H708">
        <v>13.4</v>
      </c>
      <c r="I708">
        <f>Table1[[#This Row],[Quantité corrigé]]*Table1[[#This Row],[Prix_Unitaire_HT]]</f>
        <v>40.200000000000003</v>
      </c>
    </row>
    <row r="709" spans="1:9" x14ac:dyDescent="0.25">
      <c r="A709" t="s">
        <v>943</v>
      </c>
      <c r="B709" t="s">
        <v>941</v>
      </c>
      <c r="C709" s="2" t="str">
        <f t="shared" si="14"/>
        <v>août</v>
      </c>
      <c r="D709" t="s">
        <v>61</v>
      </c>
      <c r="E709" t="s">
        <v>1579</v>
      </c>
      <c r="F709">
        <v>3</v>
      </c>
      <c r="G709" t="s">
        <v>17</v>
      </c>
      <c r="H709">
        <v>1.23</v>
      </c>
      <c r="I709">
        <f>Table1[[#This Row],[Quantité corrigé]]*Table1[[#This Row],[Prix_Unitaire_HT]]</f>
        <v>3.69</v>
      </c>
    </row>
    <row r="710" spans="1:9" x14ac:dyDescent="0.25">
      <c r="A710" t="s">
        <v>944</v>
      </c>
      <c r="B710" t="s">
        <v>945</v>
      </c>
      <c r="C710" s="2" t="str">
        <f t="shared" si="14"/>
        <v>août</v>
      </c>
      <c r="D710" t="s">
        <v>66</v>
      </c>
      <c r="E710" t="s">
        <v>1583</v>
      </c>
      <c r="F710">
        <v>8</v>
      </c>
      <c r="G710" t="s">
        <v>17</v>
      </c>
      <c r="H710">
        <v>8.9</v>
      </c>
      <c r="I710">
        <f>Table1[[#This Row],[Quantité corrigé]]*Table1[[#This Row],[Prix_Unitaire_HT]]</f>
        <v>71.2</v>
      </c>
    </row>
    <row r="711" spans="1:9" x14ac:dyDescent="0.25">
      <c r="A711" t="s">
        <v>946</v>
      </c>
      <c r="B711" t="s">
        <v>945</v>
      </c>
      <c r="C711" s="2" t="str">
        <f t="shared" si="14"/>
        <v>août</v>
      </c>
      <c r="D711" t="s">
        <v>66</v>
      </c>
      <c r="E711" t="s">
        <v>1584</v>
      </c>
      <c r="F711">
        <v>8</v>
      </c>
      <c r="G711" t="s">
        <v>17</v>
      </c>
      <c r="H711">
        <v>7.43</v>
      </c>
      <c r="I711">
        <f>Table1[[#This Row],[Quantité corrigé]]*Table1[[#This Row],[Prix_Unitaire_HT]]</f>
        <v>59.44</v>
      </c>
    </row>
    <row r="712" spans="1:9" x14ac:dyDescent="0.25">
      <c r="A712" t="s">
        <v>947</v>
      </c>
      <c r="B712" t="s">
        <v>945</v>
      </c>
      <c r="C712" s="2" t="str">
        <f t="shared" si="14"/>
        <v>août</v>
      </c>
      <c r="D712" t="s">
        <v>69</v>
      </c>
      <c r="E712" t="s">
        <v>1585</v>
      </c>
      <c r="F712">
        <v>8</v>
      </c>
      <c r="G712" t="s">
        <v>39</v>
      </c>
      <c r="H712">
        <v>5.77</v>
      </c>
      <c r="I712">
        <f>Table1[[#This Row],[Quantité corrigé]]*Table1[[#This Row],[Prix_Unitaire_HT]]</f>
        <v>46.16</v>
      </c>
    </row>
    <row r="713" spans="1:9" x14ac:dyDescent="0.25">
      <c r="A713" t="s">
        <v>948</v>
      </c>
      <c r="B713" t="s">
        <v>945</v>
      </c>
      <c r="C713" s="2" t="str">
        <f t="shared" si="14"/>
        <v>août</v>
      </c>
      <c r="D713" t="s">
        <v>69</v>
      </c>
      <c r="E713" t="s">
        <v>1586</v>
      </c>
      <c r="F713">
        <v>8</v>
      </c>
      <c r="G713" t="s">
        <v>43</v>
      </c>
      <c r="H713">
        <v>3.86</v>
      </c>
      <c r="I713">
        <f>Table1[[#This Row],[Quantité corrigé]]*Table1[[#This Row],[Prix_Unitaire_HT]]</f>
        <v>30.88</v>
      </c>
    </row>
    <row r="714" spans="1:9" x14ac:dyDescent="0.25">
      <c r="A714" t="s">
        <v>949</v>
      </c>
      <c r="B714" t="s">
        <v>950</v>
      </c>
      <c r="C714" s="2" t="str">
        <f t="shared" si="14"/>
        <v>août</v>
      </c>
      <c r="D714" t="s">
        <v>195</v>
      </c>
      <c r="E714" t="s">
        <v>1588</v>
      </c>
      <c r="F714">
        <v>8</v>
      </c>
      <c r="G714" t="s">
        <v>17</v>
      </c>
      <c r="H714">
        <v>8.94</v>
      </c>
      <c r="I714">
        <f>Table1[[#This Row],[Quantité corrigé]]*Table1[[#This Row],[Prix_Unitaire_HT]]</f>
        <v>71.52</v>
      </c>
    </row>
    <row r="715" spans="1:9" x14ac:dyDescent="0.25">
      <c r="A715" t="s">
        <v>951</v>
      </c>
      <c r="B715" t="s">
        <v>952</v>
      </c>
      <c r="C715" s="2" t="str">
        <f t="shared" si="14"/>
        <v>août</v>
      </c>
      <c r="D715" t="s">
        <v>61</v>
      </c>
      <c r="E715" t="s">
        <v>1577</v>
      </c>
      <c r="F715">
        <v>6</v>
      </c>
      <c r="G715" t="s">
        <v>11</v>
      </c>
      <c r="H715">
        <v>14.37</v>
      </c>
      <c r="I715">
        <f>Table1[[#This Row],[Quantité corrigé]]*Table1[[#This Row],[Prix_Unitaire_HT]]</f>
        <v>86.22</v>
      </c>
    </row>
    <row r="716" spans="1:9" x14ac:dyDescent="0.25">
      <c r="A716" t="s">
        <v>953</v>
      </c>
      <c r="B716" t="s">
        <v>952</v>
      </c>
      <c r="C716" s="2" t="str">
        <f t="shared" si="14"/>
        <v>août</v>
      </c>
      <c r="D716" t="s">
        <v>61</v>
      </c>
      <c r="E716" t="s">
        <v>1578</v>
      </c>
      <c r="F716">
        <v>3</v>
      </c>
      <c r="G716" t="s">
        <v>11</v>
      </c>
      <c r="H716">
        <v>12.99</v>
      </c>
      <c r="I716">
        <f>Table1[[#This Row],[Quantité corrigé]]*Table1[[#This Row],[Prix_Unitaire_HT]]</f>
        <v>38.97</v>
      </c>
    </row>
    <row r="717" spans="1:9" x14ac:dyDescent="0.25">
      <c r="A717" t="s">
        <v>954</v>
      </c>
      <c r="B717" t="s">
        <v>952</v>
      </c>
      <c r="C717" s="2" t="str">
        <f t="shared" si="14"/>
        <v>août</v>
      </c>
      <c r="D717" t="s">
        <v>61</v>
      </c>
      <c r="E717" t="s">
        <v>1579</v>
      </c>
      <c r="F717">
        <v>3</v>
      </c>
      <c r="G717" t="s">
        <v>17</v>
      </c>
      <c r="H717">
        <v>1.19</v>
      </c>
      <c r="I717">
        <f>Table1[[#This Row],[Quantité corrigé]]*Table1[[#This Row],[Prix_Unitaire_HT]]</f>
        <v>3.57</v>
      </c>
    </row>
    <row r="718" spans="1:9" x14ac:dyDescent="0.25">
      <c r="A718" t="s">
        <v>955</v>
      </c>
      <c r="B718" t="s">
        <v>952</v>
      </c>
      <c r="C718" s="2" t="str">
        <f t="shared" si="14"/>
        <v>août</v>
      </c>
      <c r="D718" t="s">
        <v>19</v>
      </c>
      <c r="E718" t="s">
        <v>1580</v>
      </c>
      <c r="F718">
        <v>6</v>
      </c>
      <c r="G718" t="s">
        <v>21</v>
      </c>
      <c r="H718">
        <v>4.04</v>
      </c>
      <c r="I718">
        <f>Table1[[#This Row],[Quantité corrigé]]*Table1[[#This Row],[Prix_Unitaire_HT]]</f>
        <v>24.240000000000002</v>
      </c>
    </row>
    <row r="719" spans="1:9" x14ac:dyDescent="0.25">
      <c r="A719" t="s">
        <v>956</v>
      </c>
      <c r="B719" t="s">
        <v>952</v>
      </c>
      <c r="C719" s="2" t="str">
        <f t="shared" si="14"/>
        <v>août</v>
      </c>
      <c r="D719" t="s">
        <v>19</v>
      </c>
      <c r="E719" t="s">
        <v>1581</v>
      </c>
      <c r="F719">
        <v>8</v>
      </c>
      <c r="G719" t="s">
        <v>25</v>
      </c>
      <c r="H719">
        <v>22.37</v>
      </c>
      <c r="I719">
        <f>Table1[[#This Row],[Quantité corrigé]]*Table1[[#This Row],[Prix_Unitaire_HT]]</f>
        <v>178.96</v>
      </c>
    </row>
    <row r="720" spans="1:9" x14ac:dyDescent="0.25">
      <c r="A720" t="s">
        <v>957</v>
      </c>
      <c r="B720" t="s">
        <v>952</v>
      </c>
      <c r="C720" s="2" t="str">
        <f t="shared" si="14"/>
        <v>août</v>
      </c>
      <c r="D720" t="s">
        <v>19</v>
      </c>
      <c r="E720" t="s">
        <v>1582</v>
      </c>
      <c r="F720">
        <v>10</v>
      </c>
      <c r="G720" t="s">
        <v>29</v>
      </c>
      <c r="H720">
        <v>9.35</v>
      </c>
      <c r="I720">
        <f>Table1[[#This Row],[Quantité corrigé]]*Table1[[#This Row],[Prix_Unitaire_HT]]</f>
        <v>93.5</v>
      </c>
    </row>
    <row r="721" spans="1:9" x14ac:dyDescent="0.25">
      <c r="A721" t="s">
        <v>958</v>
      </c>
      <c r="B721" t="s">
        <v>959</v>
      </c>
      <c r="C721" s="2" t="str">
        <f t="shared" si="14"/>
        <v>août</v>
      </c>
      <c r="D721" t="s">
        <v>66</v>
      </c>
      <c r="E721" t="s">
        <v>1583</v>
      </c>
      <c r="F721">
        <v>5</v>
      </c>
      <c r="G721" t="s">
        <v>17</v>
      </c>
      <c r="H721">
        <v>8.58</v>
      </c>
      <c r="I721">
        <f>Table1[[#This Row],[Quantité corrigé]]*Table1[[#This Row],[Prix_Unitaire_HT]]</f>
        <v>42.9</v>
      </c>
    </row>
    <row r="722" spans="1:9" x14ac:dyDescent="0.25">
      <c r="A722" t="s">
        <v>960</v>
      </c>
      <c r="B722" t="s">
        <v>959</v>
      </c>
      <c r="C722" s="2" t="str">
        <f t="shared" si="14"/>
        <v>août</v>
      </c>
      <c r="D722" t="s">
        <v>66</v>
      </c>
      <c r="E722" t="s">
        <v>1584</v>
      </c>
      <c r="F722">
        <v>5</v>
      </c>
      <c r="G722" t="s">
        <v>17</v>
      </c>
      <c r="H722">
        <v>6.76</v>
      </c>
      <c r="I722">
        <f>Table1[[#This Row],[Quantité corrigé]]*Table1[[#This Row],[Prix_Unitaire_HT]]</f>
        <v>33.799999999999997</v>
      </c>
    </row>
    <row r="723" spans="1:9" x14ac:dyDescent="0.25">
      <c r="A723" t="s">
        <v>961</v>
      </c>
      <c r="B723" t="s">
        <v>959</v>
      </c>
      <c r="C723" s="2" t="str">
        <f t="shared" si="14"/>
        <v>août</v>
      </c>
      <c r="D723" t="s">
        <v>69</v>
      </c>
      <c r="E723" t="s">
        <v>1585</v>
      </c>
      <c r="F723">
        <v>12</v>
      </c>
      <c r="G723" t="s">
        <v>39</v>
      </c>
      <c r="H723">
        <v>5.73</v>
      </c>
      <c r="I723">
        <f>Table1[[#This Row],[Quantité corrigé]]*Table1[[#This Row],[Prix_Unitaire_HT]]</f>
        <v>68.760000000000005</v>
      </c>
    </row>
    <row r="724" spans="1:9" x14ac:dyDescent="0.25">
      <c r="A724" t="s">
        <v>962</v>
      </c>
      <c r="B724" t="s">
        <v>959</v>
      </c>
      <c r="C724" s="2" t="str">
        <f t="shared" si="14"/>
        <v>août</v>
      </c>
      <c r="D724" t="s">
        <v>69</v>
      </c>
      <c r="E724" t="s">
        <v>1586</v>
      </c>
      <c r="F724">
        <v>10</v>
      </c>
      <c r="G724" t="s">
        <v>43</v>
      </c>
      <c r="H724">
        <v>3.96</v>
      </c>
      <c r="I724">
        <f>Table1[[#This Row],[Quantité corrigé]]*Table1[[#This Row],[Prix_Unitaire_HT]]</f>
        <v>39.6</v>
      </c>
    </row>
    <row r="725" spans="1:9" x14ac:dyDescent="0.25">
      <c r="A725" t="s">
        <v>963</v>
      </c>
      <c r="B725" t="s">
        <v>964</v>
      </c>
      <c r="C725" s="2" t="str">
        <f t="shared" si="14"/>
        <v>août</v>
      </c>
      <c r="D725" t="s">
        <v>19</v>
      </c>
      <c r="E725" t="s">
        <v>1580</v>
      </c>
      <c r="F725">
        <v>4</v>
      </c>
      <c r="G725" t="s">
        <v>21</v>
      </c>
      <c r="H725">
        <v>4</v>
      </c>
      <c r="I725">
        <f>Table1[[#This Row],[Quantité corrigé]]*Table1[[#This Row],[Prix_Unitaire_HT]]</f>
        <v>16</v>
      </c>
    </row>
    <row r="726" spans="1:9" x14ac:dyDescent="0.25">
      <c r="A726" t="s">
        <v>965</v>
      </c>
      <c r="B726" t="s">
        <v>964</v>
      </c>
      <c r="C726" s="2" t="str">
        <f t="shared" si="14"/>
        <v>août</v>
      </c>
      <c r="D726" t="s">
        <v>19</v>
      </c>
      <c r="E726" t="s">
        <v>1581</v>
      </c>
      <c r="F726">
        <v>4</v>
      </c>
      <c r="G726" t="s">
        <v>25</v>
      </c>
      <c r="H726">
        <v>23.21</v>
      </c>
      <c r="I726">
        <f>Table1[[#This Row],[Quantité corrigé]]*Table1[[#This Row],[Prix_Unitaire_HT]]</f>
        <v>92.84</v>
      </c>
    </row>
    <row r="727" spans="1:9" x14ac:dyDescent="0.25">
      <c r="A727" t="s">
        <v>966</v>
      </c>
      <c r="B727" t="s">
        <v>964</v>
      </c>
      <c r="C727" s="2" t="str">
        <f t="shared" si="14"/>
        <v>août</v>
      </c>
      <c r="D727" t="s">
        <v>19</v>
      </c>
      <c r="E727" t="s">
        <v>1582</v>
      </c>
      <c r="F727">
        <v>10</v>
      </c>
      <c r="G727" t="s">
        <v>29</v>
      </c>
      <c r="H727">
        <v>9.4700000000000006</v>
      </c>
      <c r="I727">
        <f>Table1[[#This Row],[Quantité corrigé]]*Table1[[#This Row],[Prix_Unitaire_HT]]</f>
        <v>94.7</v>
      </c>
    </row>
    <row r="728" spans="1:9" x14ac:dyDescent="0.25">
      <c r="A728" t="s">
        <v>967</v>
      </c>
      <c r="B728" t="s">
        <v>964</v>
      </c>
      <c r="C728" s="2" t="str">
        <f t="shared" si="14"/>
        <v>août</v>
      </c>
      <c r="D728" t="s">
        <v>50</v>
      </c>
      <c r="E728" t="s">
        <v>1587</v>
      </c>
      <c r="F728">
        <v>3</v>
      </c>
      <c r="G728" t="s">
        <v>52</v>
      </c>
      <c r="H728">
        <v>19.13</v>
      </c>
      <c r="I728">
        <f>Table1[[#This Row],[Quantité corrigé]]*Table1[[#This Row],[Prix_Unitaire_HT]]</f>
        <v>57.39</v>
      </c>
    </row>
    <row r="729" spans="1:9" x14ac:dyDescent="0.25">
      <c r="A729" t="s">
        <v>968</v>
      </c>
      <c r="B729" t="s">
        <v>964</v>
      </c>
      <c r="C729" s="2" t="str">
        <f t="shared" si="14"/>
        <v>août</v>
      </c>
      <c r="D729" t="s">
        <v>195</v>
      </c>
      <c r="E729" t="s">
        <v>1588</v>
      </c>
      <c r="F729">
        <v>6</v>
      </c>
      <c r="G729" t="s">
        <v>17</v>
      </c>
      <c r="H729">
        <v>9.34</v>
      </c>
      <c r="I729">
        <f>Table1[[#This Row],[Quantité corrigé]]*Table1[[#This Row],[Prix_Unitaire_HT]]</f>
        <v>56.04</v>
      </c>
    </row>
    <row r="730" spans="1:9" x14ac:dyDescent="0.25">
      <c r="A730" t="s">
        <v>969</v>
      </c>
      <c r="B730" t="s">
        <v>970</v>
      </c>
      <c r="C730" s="2" t="str">
        <f t="shared" si="14"/>
        <v>août</v>
      </c>
      <c r="D730" t="s">
        <v>61</v>
      </c>
      <c r="E730" t="s">
        <v>1577</v>
      </c>
      <c r="F730">
        <v>5</v>
      </c>
      <c r="G730" t="s">
        <v>11</v>
      </c>
      <c r="H730">
        <v>14.33</v>
      </c>
      <c r="I730">
        <f>Table1[[#This Row],[Quantité corrigé]]*Table1[[#This Row],[Prix_Unitaire_HT]]</f>
        <v>71.650000000000006</v>
      </c>
    </row>
    <row r="731" spans="1:9" x14ac:dyDescent="0.25">
      <c r="A731" t="s">
        <v>971</v>
      </c>
      <c r="B731" t="s">
        <v>970</v>
      </c>
      <c r="C731" s="2" t="str">
        <f t="shared" si="14"/>
        <v>août</v>
      </c>
      <c r="D731" t="s">
        <v>61</v>
      </c>
      <c r="E731" t="s">
        <v>1578</v>
      </c>
      <c r="F731">
        <v>4</v>
      </c>
      <c r="G731" t="s">
        <v>11</v>
      </c>
      <c r="H731">
        <v>13.57</v>
      </c>
      <c r="I731">
        <f>Table1[[#This Row],[Quantité corrigé]]*Table1[[#This Row],[Prix_Unitaire_HT]]</f>
        <v>54.28</v>
      </c>
    </row>
    <row r="732" spans="1:9" x14ac:dyDescent="0.25">
      <c r="A732" t="s">
        <v>972</v>
      </c>
      <c r="B732" t="s">
        <v>970</v>
      </c>
      <c r="C732" s="2" t="str">
        <f t="shared" si="14"/>
        <v>août</v>
      </c>
      <c r="D732" t="s">
        <v>61</v>
      </c>
      <c r="E732" t="s">
        <v>1579</v>
      </c>
      <c r="F732">
        <v>6</v>
      </c>
      <c r="G732" t="s">
        <v>17</v>
      </c>
      <c r="H732">
        <v>1.17</v>
      </c>
      <c r="I732">
        <f>Table1[[#This Row],[Quantité corrigé]]*Table1[[#This Row],[Prix_Unitaire_HT]]</f>
        <v>7.02</v>
      </c>
    </row>
    <row r="733" spans="1:9" x14ac:dyDescent="0.25">
      <c r="A733" t="s">
        <v>973</v>
      </c>
      <c r="B733" t="s">
        <v>974</v>
      </c>
      <c r="C733" s="2" t="str">
        <f t="shared" si="14"/>
        <v>août</v>
      </c>
      <c r="D733" t="s">
        <v>66</v>
      </c>
      <c r="E733" t="s">
        <v>1583</v>
      </c>
      <c r="F733">
        <v>12</v>
      </c>
      <c r="G733" t="s">
        <v>17</v>
      </c>
      <c r="H733">
        <v>9.32</v>
      </c>
      <c r="I733">
        <f>Table1[[#This Row],[Quantité corrigé]]*Table1[[#This Row],[Prix_Unitaire_HT]]</f>
        <v>111.84</v>
      </c>
    </row>
    <row r="734" spans="1:9" x14ac:dyDescent="0.25">
      <c r="A734" t="s">
        <v>975</v>
      </c>
      <c r="B734" t="s">
        <v>974</v>
      </c>
      <c r="C734" s="2" t="str">
        <f t="shared" si="14"/>
        <v>août</v>
      </c>
      <c r="D734" t="s">
        <v>66</v>
      </c>
      <c r="E734" t="s">
        <v>1584</v>
      </c>
      <c r="F734">
        <v>8</v>
      </c>
      <c r="G734" t="s">
        <v>17</v>
      </c>
      <c r="H734">
        <v>7.76</v>
      </c>
      <c r="I734">
        <f>Table1[[#This Row],[Quantité corrigé]]*Table1[[#This Row],[Prix_Unitaire_HT]]</f>
        <v>62.08</v>
      </c>
    </row>
    <row r="735" spans="1:9" x14ac:dyDescent="0.25">
      <c r="A735" t="s">
        <v>976</v>
      </c>
      <c r="B735" t="s">
        <v>974</v>
      </c>
      <c r="C735" s="2" t="str">
        <f t="shared" si="14"/>
        <v>août</v>
      </c>
      <c r="D735" t="s">
        <v>69</v>
      </c>
      <c r="E735" t="s">
        <v>1585</v>
      </c>
      <c r="F735">
        <v>10</v>
      </c>
      <c r="G735" t="s">
        <v>39</v>
      </c>
      <c r="H735">
        <v>5.8</v>
      </c>
      <c r="I735">
        <f>Table1[[#This Row],[Quantité corrigé]]*Table1[[#This Row],[Prix_Unitaire_HT]]</f>
        <v>58</v>
      </c>
    </row>
    <row r="736" spans="1:9" x14ac:dyDescent="0.25">
      <c r="A736" t="s">
        <v>977</v>
      </c>
      <c r="B736" t="s">
        <v>974</v>
      </c>
      <c r="C736" s="2" t="str">
        <f t="shared" si="14"/>
        <v>août</v>
      </c>
      <c r="D736" t="s">
        <v>69</v>
      </c>
      <c r="E736" t="s">
        <v>1586</v>
      </c>
      <c r="F736">
        <v>8</v>
      </c>
      <c r="G736" t="s">
        <v>43</v>
      </c>
      <c r="H736">
        <v>3.83</v>
      </c>
      <c r="I736">
        <f>Table1[[#This Row],[Quantité corrigé]]*Table1[[#This Row],[Prix_Unitaire_HT]]</f>
        <v>30.64</v>
      </c>
    </row>
    <row r="737" spans="1:9" x14ac:dyDescent="0.25">
      <c r="A737" t="s">
        <v>978</v>
      </c>
      <c r="B737" t="s">
        <v>979</v>
      </c>
      <c r="C737" s="2" t="str">
        <f t="shared" si="14"/>
        <v>août</v>
      </c>
      <c r="D737" t="s">
        <v>195</v>
      </c>
      <c r="E737" t="s">
        <v>1588</v>
      </c>
      <c r="F737">
        <v>10</v>
      </c>
      <c r="G737" t="s">
        <v>17</v>
      </c>
      <c r="H737">
        <v>8.4499999999999993</v>
      </c>
      <c r="I737">
        <f>Table1[[#This Row],[Quantité corrigé]]*Table1[[#This Row],[Prix_Unitaire_HT]]</f>
        <v>84.5</v>
      </c>
    </row>
    <row r="738" spans="1:9" x14ac:dyDescent="0.25">
      <c r="A738" t="s">
        <v>980</v>
      </c>
      <c r="B738" t="s">
        <v>981</v>
      </c>
      <c r="C738" s="2" t="str">
        <f t="shared" si="14"/>
        <v>août</v>
      </c>
      <c r="D738" t="s">
        <v>61</v>
      </c>
      <c r="E738" t="s">
        <v>1577</v>
      </c>
      <c r="F738">
        <v>4</v>
      </c>
      <c r="G738" t="s">
        <v>11</v>
      </c>
      <c r="H738">
        <v>15.23</v>
      </c>
      <c r="I738">
        <f>Table1[[#This Row],[Quantité corrigé]]*Table1[[#This Row],[Prix_Unitaire_HT]]</f>
        <v>60.92</v>
      </c>
    </row>
    <row r="739" spans="1:9" x14ac:dyDescent="0.25">
      <c r="A739" t="s">
        <v>982</v>
      </c>
      <c r="B739" t="s">
        <v>981</v>
      </c>
      <c r="C739" s="2" t="str">
        <f t="shared" si="14"/>
        <v>août</v>
      </c>
      <c r="D739" t="s">
        <v>61</v>
      </c>
      <c r="E739" t="s">
        <v>1578</v>
      </c>
      <c r="F739">
        <v>5</v>
      </c>
      <c r="G739" t="s">
        <v>11</v>
      </c>
      <c r="H739">
        <v>13.44</v>
      </c>
      <c r="I739">
        <f>Table1[[#This Row],[Quantité corrigé]]*Table1[[#This Row],[Prix_Unitaire_HT]]</f>
        <v>67.2</v>
      </c>
    </row>
    <row r="740" spans="1:9" x14ac:dyDescent="0.25">
      <c r="A740" t="s">
        <v>983</v>
      </c>
      <c r="B740" t="s">
        <v>981</v>
      </c>
      <c r="C740" s="2" t="str">
        <f t="shared" si="14"/>
        <v>août</v>
      </c>
      <c r="D740" t="s">
        <v>61</v>
      </c>
      <c r="E740" t="s">
        <v>1579</v>
      </c>
      <c r="F740">
        <v>4</v>
      </c>
      <c r="G740" t="s">
        <v>17</v>
      </c>
      <c r="H740">
        <v>1.23</v>
      </c>
      <c r="I740">
        <f>Table1[[#This Row],[Quantité corrigé]]*Table1[[#This Row],[Prix_Unitaire_HT]]</f>
        <v>4.92</v>
      </c>
    </row>
    <row r="741" spans="1:9" x14ac:dyDescent="0.25">
      <c r="A741" t="s">
        <v>984</v>
      </c>
      <c r="B741" t="s">
        <v>981</v>
      </c>
      <c r="C741" s="2" t="str">
        <f t="shared" si="14"/>
        <v>août</v>
      </c>
      <c r="D741" t="s">
        <v>19</v>
      </c>
      <c r="E741" t="s">
        <v>1580</v>
      </c>
      <c r="F741">
        <v>6</v>
      </c>
      <c r="G741" t="s">
        <v>21</v>
      </c>
      <c r="H741">
        <v>4.18</v>
      </c>
      <c r="I741">
        <f>Table1[[#This Row],[Quantité corrigé]]*Table1[[#This Row],[Prix_Unitaire_HT]]</f>
        <v>25.08</v>
      </c>
    </row>
    <row r="742" spans="1:9" x14ac:dyDescent="0.25">
      <c r="A742" t="s">
        <v>985</v>
      </c>
      <c r="B742" t="s">
        <v>981</v>
      </c>
      <c r="C742" s="2" t="str">
        <f t="shared" si="14"/>
        <v>août</v>
      </c>
      <c r="D742" t="s">
        <v>19</v>
      </c>
      <c r="E742" t="s">
        <v>1581</v>
      </c>
      <c r="F742">
        <v>8</v>
      </c>
      <c r="G742" t="s">
        <v>25</v>
      </c>
      <c r="H742">
        <v>23.21</v>
      </c>
      <c r="I742">
        <f>Table1[[#This Row],[Quantité corrigé]]*Table1[[#This Row],[Prix_Unitaire_HT]]</f>
        <v>185.68</v>
      </c>
    </row>
    <row r="743" spans="1:9" x14ac:dyDescent="0.25">
      <c r="A743" t="s">
        <v>986</v>
      </c>
      <c r="B743" t="s">
        <v>981</v>
      </c>
      <c r="C743" s="2" t="str">
        <f t="shared" si="14"/>
        <v>août</v>
      </c>
      <c r="D743" t="s">
        <v>19</v>
      </c>
      <c r="E743" t="s">
        <v>1582</v>
      </c>
      <c r="F743">
        <v>8</v>
      </c>
      <c r="G743" t="s">
        <v>29</v>
      </c>
      <c r="H743">
        <v>10.210000000000001</v>
      </c>
      <c r="I743">
        <f>Table1[[#This Row],[Quantité corrigé]]*Table1[[#This Row],[Prix_Unitaire_HT]]</f>
        <v>81.680000000000007</v>
      </c>
    </row>
    <row r="744" spans="1:9" x14ac:dyDescent="0.25">
      <c r="A744" t="s">
        <v>987</v>
      </c>
      <c r="B744" t="s">
        <v>988</v>
      </c>
      <c r="C744" s="2" t="str">
        <f t="shared" si="14"/>
        <v>août</v>
      </c>
      <c r="D744" t="s">
        <v>66</v>
      </c>
      <c r="E744" t="s">
        <v>1583</v>
      </c>
      <c r="F744">
        <v>6</v>
      </c>
      <c r="G744" t="s">
        <v>17</v>
      </c>
      <c r="H744">
        <v>9.64</v>
      </c>
      <c r="I744">
        <f>Table1[[#This Row],[Quantité corrigé]]*Table1[[#This Row],[Prix_Unitaire_HT]]</f>
        <v>57.84</v>
      </c>
    </row>
    <row r="745" spans="1:9" x14ac:dyDescent="0.25">
      <c r="A745" t="s">
        <v>989</v>
      </c>
      <c r="B745" t="s">
        <v>988</v>
      </c>
      <c r="C745" s="2" t="str">
        <f t="shared" si="14"/>
        <v>août</v>
      </c>
      <c r="D745" t="s">
        <v>66</v>
      </c>
      <c r="E745" t="s">
        <v>1584</v>
      </c>
      <c r="F745">
        <v>6</v>
      </c>
      <c r="G745" t="s">
        <v>17</v>
      </c>
      <c r="H745">
        <v>7.25</v>
      </c>
      <c r="I745">
        <f>Table1[[#This Row],[Quantité corrigé]]*Table1[[#This Row],[Prix_Unitaire_HT]]</f>
        <v>43.5</v>
      </c>
    </row>
    <row r="746" spans="1:9" x14ac:dyDescent="0.25">
      <c r="A746" t="s">
        <v>990</v>
      </c>
      <c r="B746" t="s">
        <v>988</v>
      </c>
      <c r="C746" s="2" t="str">
        <f t="shared" si="14"/>
        <v>août</v>
      </c>
      <c r="D746" t="s">
        <v>69</v>
      </c>
      <c r="E746" t="s">
        <v>1585</v>
      </c>
      <c r="F746">
        <v>12</v>
      </c>
      <c r="G746" t="s">
        <v>39</v>
      </c>
      <c r="H746">
        <v>5.7</v>
      </c>
      <c r="I746">
        <f>Table1[[#This Row],[Quantité corrigé]]*Table1[[#This Row],[Prix_Unitaire_HT]]</f>
        <v>68.400000000000006</v>
      </c>
    </row>
    <row r="747" spans="1:9" x14ac:dyDescent="0.25">
      <c r="A747" t="s">
        <v>991</v>
      </c>
      <c r="B747" t="s">
        <v>988</v>
      </c>
      <c r="C747" s="2" t="str">
        <f t="shared" si="14"/>
        <v>août</v>
      </c>
      <c r="D747" t="s">
        <v>69</v>
      </c>
      <c r="E747" t="s">
        <v>1586</v>
      </c>
      <c r="F747">
        <v>8</v>
      </c>
      <c r="G747" t="s">
        <v>43</v>
      </c>
      <c r="H747">
        <v>3.82</v>
      </c>
      <c r="I747">
        <f>Table1[[#This Row],[Quantité corrigé]]*Table1[[#This Row],[Prix_Unitaire_HT]]</f>
        <v>30.56</v>
      </c>
    </row>
    <row r="748" spans="1:9" x14ac:dyDescent="0.25">
      <c r="A748" t="s">
        <v>992</v>
      </c>
      <c r="B748" t="s">
        <v>993</v>
      </c>
      <c r="C748" s="2" t="str">
        <f t="shared" si="14"/>
        <v>août</v>
      </c>
      <c r="D748" t="s">
        <v>19</v>
      </c>
      <c r="E748" t="s">
        <v>1580</v>
      </c>
      <c r="F748">
        <v>8</v>
      </c>
      <c r="G748" t="s">
        <v>21</v>
      </c>
      <c r="H748">
        <v>4.38</v>
      </c>
      <c r="I748">
        <f>Table1[[#This Row],[Quantité corrigé]]*Table1[[#This Row],[Prix_Unitaire_HT]]</f>
        <v>35.04</v>
      </c>
    </row>
    <row r="749" spans="1:9" x14ac:dyDescent="0.25">
      <c r="A749" t="s">
        <v>994</v>
      </c>
      <c r="B749" t="s">
        <v>993</v>
      </c>
      <c r="C749" s="2" t="str">
        <f t="shared" si="14"/>
        <v>août</v>
      </c>
      <c r="D749" t="s">
        <v>19</v>
      </c>
      <c r="E749" t="s">
        <v>1581</v>
      </c>
      <c r="F749">
        <v>6</v>
      </c>
      <c r="G749" t="s">
        <v>25</v>
      </c>
      <c r="H749">
        <v>22.58</v>
      </c>
      <c r="I749">
        <f>Table1[[#This Row],[Quantité corrigé]]*Table1[[#This Row],[Prix_Unitaire_HT]]</f>
        <v>135.47999999999999</v>
      </c>
    </row>
    <row r="750" spans="1:9" x14ac:dyDescent="0.25">
      <c r="A750" t="s">
        <v>995</v>
      </c>
      <c r="B750" t="s">
        <v>993</v>
      </c>
      <c r="C750" s="2" t="str">
        <f t="shared" si="14"/>
        <v>août</v>
      </c>
      <c r="D750" t="s">
        <v>19</v>
      </c>
      <c r="E750" t="s">
        <v>1582</v>
      </c>
      <c r="F750">
        <v>8</v>
      </c>
      <c r="G750" t="s">
        <v>29</v>
      </c>
      <c r="H750">
        <v>10.53</v>
      </c>
      <c r="I750">
        <f>Table1[[#This Row],[Quantité corrigé]]*Table1[[#This Row],[Prix_Unitaire_HT]]</f>
        <v>84.24</v>
      </c>
    </row>
    <row r="751" spans="1:9" x14ac:dyDescent="0.25">
      <c r="A751" t="s">
        <v>996</v>
      </c>
      <c r="B751" t="s">
        <v>993</v>
      </c>
      <c r="C751" s="2" t="str">
        <f t="shared" si="14"/>
        <v>août</v>
      </c>
      <c r="D751" t="s">
        <v>50</v>
      </c>
      <c r="E751" t="s">
        <v>1587</v>
      </c>
      <c r="F751">
        <v>3</v>
      </c>
      <c r="G751" t="s">
        <v>52</v>
      </c>
      <c r="H751">
        <v>18.739999999999998</v>
      </c>
      <c r="I751">
        <f>Table1[[#This Row],[Quantité corrigé]]*Table1[[#This Row],[Prix_Unitaire_HT]]</f>
        <v>56.22</v>
      </c>
    </row>
    <row r="752" spans="1:9" x14ac:dyDescent="0.25">
      <c r="A752" t="s">
        <v>997</v>
      </c>
      <c r="B752" t="s">
        <v>993</v>
      </c>
      <c r="C752" s="2" t="str">
        <f t="shared" si="14"/>
        <v>août</v>
      </c>
      <c r="D752" t="s">
        <v>195</v>
      </c>
      <c r="E752" t="s">
        <v>1588</v>
      </c>
      <c r="F752">
        <v>10</v>
      </c>
      <c r="G752" t="s">
        <v>17</v>
      </c>
      <c r="H752">
        <v>9.76</v>
      </c>
      <c r="I752">
        <f>Table1[[#This Row],[Quantité corrigé]]*Table1[[#This Row],[Prix_Unitaire_HT]]</f>
        <v>97.6</v>
      </c>
    </row>
    <row r="753" spans="1:9" x14ac:dyDescent="0.25">
      <c r="A753" t="s">
        <v>998</v>
      </c>
      <c r="B753" t="s">
        <v>999</v>
      </c>
      <c r="C753" s="2" t="str">
        <f t="shared" si="14"/>
        <v>août</v>
      </c>
      <c r="D753" t="s">
        <v>61</v>
      </c>
      <c r="E753" t="s">
        <v>1577</v>
      </c>
      <c r="F753">
        <v>5</v>
      </c>
      <c r="G753" t="s">
        <v>11</v>
      </c>
      <c r="H753">
        <v>14.19</v>
      </c>
      <c r="I753">
        <f>Table1[[#This Row],[Quantité corrigé]]*Table1[[#This Row],[Prix_Unitaire_HT]]</f>
        <v>70.95</v>
      </c>
    </row>
    <row r="754" spans="1:9" x14ac:dyDescent="0.25">
      <c r="A754" t="s">
        <v>1000</v>
      </c>
      <c r="B754" t="s">
        <v>999</v>
      </c>
      <c r="C754" s="2" t="str">
        <f t="shared" si="14"/>
        <v>août</v>
      </c>
      <c r="D754" t="s">
        <v>61</v>
      </c>
      <c r="E754" t="s">
        <v>1578</v>
      </c>
      <c r="F754">
        <v>5</v>
      </c>
      <c r="G754" t="s">
        <v>11</v>
      </c>
      <c r="H754">
        <v>13.07</v>
      </c>
      <c r="I754">
        <f>Table1[[#This Row],[Quantité corrigé]]*Table1[[#This Row],[Prix_Unitaire_HT]]</f>
        <v>65.349999999999994</v>
      </c>
    </row>
    <row r="755" spans="1:9" x14ac:dyDescent="0.25">
      <c r="A755" t="s">
        <v>1001</v>
      </c>
      <c r="B755" t="s">
        <v>999</v>
      </c>
      <c r="C755" s="2" t="str">
        <f t="shared" si="14"/>
        <v>août</v>
      </c>
      <c r="D755" t="s">
        <v>61</v>
      </c>
      <c r="E755" t="s">
        <v>1579</v>
      </c>
      <c r="F755">
        <v>6</v>
      </c>
      <c r="G755" t="s">
        <v>17</v>
      </c>
      <c r="H755">
        <v>1.2</v>
      </c>
      <c r="I755">
        <f>Table1[[#This Row],[Quantité corrigé]]*Table1[[#This Row],[Prix_Unitaire_HT]]</f>
        <v>7.1999999999999993</v>
      </c>
    </row>
    <row r="756" spans="1:9" x14ac:dyDescent="0.25">
      <c r="A756" t="s">
        <v>1002</v>
      </c>
      <c r="B756" t="s">
        <v>1003</v>
      </c>
      <c r="C756" s="2" t="str">
        <f t="shared" si="14"/>
        <v>août</v>
      </c>
      <c r="D756" t="s">
        <v>66</v>
      </c>
      <c r="E756" t="s">
        <v>1583</v>
      </c>
      <c r="F756">
        <v>5</v>
      </c>
      <c r="G756" t="s">
        <v>17</v>
      </c>
      <c r="H756">
        <v>8.77</v>
      </c>
      <c r="I756">
        <f>Table1[[#This Row],[Quantité corrigé]]*Table1[[#This Row],[Prix_Unitaire_HT]]</f>
        <v>43.849999999999994</v>
      </c>
    </row>
    <row r="757" spans="1:9" x14ac:dyDescent="0.25">
      <c r="A757" t="s">
        <v>1004</v>
      </c>
      <c r="B757" t="s">
        <v>1003</v>
      </c>
      <c r="C757" s="2" t="str">
        <f t="shared" si="14"/>
        <v>août</v>
      </c>
      <c r="D757" t="s">
        <v>66</v>
      </c>
      <c r="E757" t="s">
        <v>1584</v>
      </c>
      <c r="F757">
        <v>6</v>
      </c>
      <c r="G757" t="s">
        <v>17</v>
      </c>
      <c r="H757">
        <v>7.6</v>
      </c>
      <c r="I757">
        <f>Table1[[#This Row],[Quantité corrigé]]*Table1[[#This Row],[Prix_Unitaire_HT]]</f>
        <v>45.599999999999994</v>
      </c>
    </row>
    <row r="758" spans="1:9" x14ac:dyDescent="0.25">
      <c r="A758" t="s">
        <v>1005</v>
      </c>
      <c r="B758" t="s">
        <v>1003</v>
      </c>
      <c r="C758" s="2" t="str">
        <f t="shared" si="14"/>
        <v>août</v>
      </c>
      <c r="D758" t="s">
        <v>69</v>
      </c>
      <c r="E758" t="s">
        <v>1585</v>
      </c>
      <c r="F758">
        <v>8</v>
      </c>
      <c r="G758" t="s">
        <v>39</v>
      </c>
      <c r="H758">
        <v>6</v>
      </c>
      <c r="I758">
        <f>Table1[[#This Row],[Quantité corrigé]]*Table1[[#This Row],[Prix_Unitaire_HT]]</f>
        <v>48</v>
      </c>
    </row>
    <row r="759" spans="1:9" x14ac:dyDescent="0.25">
      <c r="A759" t="s">
        <v>1006</v>
      </c>
      <c r="B759" t="s">
        <v>1003</v>
      </c>
      <c r="C759" s="2" t="str">
        <f t="shared" si="14"/>
        <v>août</v>
      </c>
      <c r="D759" t="s">
        <v>69</v>
      </c>
      <c r="E759" t="s">
        <v>1586</v>
      </c>
      <c r="F759">
        <v>8</v>
      </c>
      <c r="G759" t="s">
        <v>43</v>
      </c>
      <c r="H759">
        <v>4.04</v>
      </c>
      <c r="I759">
        <f>Table1[[#This Row],[Quantité corrigé]]*Table1[[#This Row],[Prix_Unitaire_HT]]</f>
        <v>32.32</v>
      </c>
    </row>
    <row r="760" spans="1:9" x14ac:dyDescent="0.25">
      <c r="A760" t="s">
        <v>1007</v>
      </c>
      <c r="B760" t="s">
        <v>1008</v>
      </c>
      <c r="C760" s="2" t="str">
        <f t="shared" si="14"/>
        <v>août</v>
      </c>
      <c r="D760" t="s">
        <v>195</v>
      </c>
      <c r="E760" t="s">
        <v>1588</v>
      </c>
      <c r="F760">
        <v>8</v>
      </c>
      <c r="G760" t="s">
        <v>17</v>
      </c>
      <c r="H760">
        <v>8.6999999999999993</v>
      </c>
      <c r="I760">
        <f>Table1[[#This Row],[Quantité corrigé]]*Table1[[#This Row],[Prix_Unitaire_HT]]</f>
        <v>69.599999999999994</v>
      </c>
    </row>
    <row r="761" spans="1:9" x14ac:dyDescent="0.25">
      <c r="A761" t="s">
        <v>1009</v>
      </c>
      <c r="B761" t="s">
        <v>1010</v>
      </c>
      <c r="C761" s="2" t="str">
        <f t="shared" si="14"/>
        <v>août</v>
      </c>
      <c r="D761" t="s">
        <v>61</v>
      </c>
      <c r="E761" t="s">
        <v>1577</v>
      </c>
      <c r="F761">
        <v>5</v>
      </c>
      <c r="G761" t="s">
        <v>11</v>
      </c>
      <c r="H761">
        <v>14.55</v>
      </c>
      <c r="I761">
        <f>Table1[[#This Row],[Quantité corrigé]]*Table1[[#This Row],[Prix_Unitaire_HT]]</f>
        <v>72.75</v>
      </c>
    </row>
    <row r="762" spans="1:9" x14ac:dyDescent="0.25">
      <c r="A762" t="s">
        <v>1011</v>
      </c>
      <c r="B762" t="s">
        <v>1010</v>
      </c>
      <c r="C762" s="2" t="str">
        <f t="shared" si="14"/>
        <v>août</v>
      </c>
      <c r="D762" t="s">
        <v>61</v>
      </c>
      <c r="E762" t="s">
        <v>1578</v>
      </c>
      <c r="F762">
        <v>3</v>
      </c>
      <c r="G762" t="s">
        <v>11</v>
      </c>
      <c r="H762">
        <v>13.22</v>
      </c>
      <c r="I762">
        <f>Table1[[#This Row],[Quantité corrigé]]*Table1[[#This Row],[Prix_Unitaire_HT]]</f>
        <v>39.660000000000004</v>
      </c>
    </row>
    <row r="763" spans="1:9" x14ac:dyDescent="0.25">
      <c r="A763" t="s">
        <v>1012</v>
      </c>
      <c r="B763" t="s">
        <v>1010</v>
      </c>
      <c r="C763" s="2" t="str">
        <f t="shared" si="14"/>
        <v>août</v>
      </c>
      <c r="D763" t="s">
        <v>61</v>
      </c>
      <c r="E763" t="s">
        <v>1579</v>
      </c>
      <c r="F763">
        <v>3</v>
      </c>
      <c r="G763" t="s">
        <v>17</v>
      </c>
      <c r="H763">
        <v>1.21</v>
      </c>
      <c r="I763">
        <f>Table1[[#This Row],[Quantité corrigé]]*Table1[[#This Row],[Prix_Unitaire_HT]]</f>
        <v>3.63</v>
      </c>
    </row>
    <row r="764" spans="1:9" x14ac:dyDescent="0.25">
      <c r="A764" t="s">
        <v>1013</v>
      </c>
      <c r="B764" t="s">
        <v>1010</v>
      </c>
      <c r="C764" s="2" t="str">
        <f t="shared" si="14"/>
        <v>août</v>
      </c>
      <c r="D764" t="s">
        <v>19</v>
      </c>
      <c r="E764" t="s">
        <v>1580</v>
      </c>
      <c r="F764">
        <v>10</v>
      </c>
      <c r="G764" t="s">
        <v>21</v>
      </c>
      <c r="H764">
        <v>4.47</v>
      </c>
      <c r="I764">
        <f>Table1[[#This Row],[Quantité corrigé]]*Table1[[#This Row],[Prix_Unitaire_HT]]</f>
        <v>44.699999999999996</v>
      </c>
    </row>
    <row r="765" spans="1:9" x14ac:dyDescent="0.25">
      <c r="A765" t="s">
        <v>1014</v>
      </c>
      <c r="B765" t="s">
        <v>1010</v>
      </c>
      <c r="C765" s="2" t="str">
        <f t="shared" si="14"/>
        <v>août</v>
      </c>
      <c r="D765" t="s">
        <v>19</v>
      </c>
      <c r="E765" t="s">
        <v>1581</v>
      </c>
      <c r="F765">
        <v>4</v>
      </c>
      <c r="G765" t="s">
        <v>25</v>
      </c>
      <c r="H765">
        <v>22.46</v>
      </c>
      <c r="I765">
        <f>Table1[[#This Row],[Quantité corrigé]]*Table1[[#This Row],[Prix_Unitaire_HT]]</f>
        <v>89.84</v>
      </c>
    </row>
    <row r="766" spans="1:9" x14ac:dyDescent="0.25">
      <c r="A766" t="s">
        <v>1015</v>
      </c>
      <c r="B766" t="s">
        <v>1010</v>
      </c>
      <c r="C766" s="2" t="str">
        <f t="shared" si="14"/>
        <v>août</v>
      </c>
      <c r="D766" t="s">
        <v>19</v>
      </c>
      <c r="E766" t="s">
        <v>1582</v>
      </c>
      <c r="F766">
        <v>4</v>
      </c>
      <c r="G766" t="s">
        <v>29</v>
      </c>
      <c r="H766">
        <v>9.52</v>
      </c>
      <c r="I766">
        <f>Table1[[#This Row],[Quantité corrigé]]*Table1[[#This Row],[Prix_Unitaire_HT]]</f>
        <v>38.08</v>
      </c>
    </row>
    <row r="767" spans="1:9" x14ac:dyDescent="0.25">
      <c r="A767" t="s">
        <v>1016</v>
      </c>
      <c r="B767" t="s">
        <v>1017</v>
      </c>
      <c r="C767" s="2" t="str">
        <f t="shared" si="14"/>
        <v>août</v>
      </c>
      <c r="D767" t="s">
        <v>66</v>
      </c>
      <c r="E767" t="s">
        <v>1583</v>
      </c>
      <c r="F767">
        <v>8</v>
      </c>
      <c r="G767" t="s">
        <v>17</v>
      </c>
      <c r="H767">
        <v>9.0299999999999994</v>
      </c>
      <c r="I767">
        <f>Table1[[#This Row],[Quantité corrigé]]*Table1[[#This Row],[Prix_Unitaire_HT]]</f>
        <v>72.239999999999995</v>
      </c>
    </row>
    <row r="768" spans="1:9" x14ac:dyDescent="0.25">
      <c r="A768" t="s">
        <v>1018</v>
      </c>
      <c r="B768" t="s">
        <v>1017</v>
      </c>
      <c r="C768" s="2" t="str">
        <f t="shared" si="14"/>
        <v>août</v>
      </c>
      <c r="D768" t="s">
        <v>66</v>
      </c>
      <c r="E768" t="s">
        <v>1584</v>
      </c>
      <c r="F768">
        <v>6</v>
      </c>
      <c r="G768" t="s">
        <v>17</v>
      </c>
      <c r="H768">
        <v>6.71</v>
      </c>
      <c r="I768">
        <f>Table1[[#This Row],[Quantité corrigé]]*Table1[[#This Row],[Prix_Unitaire_HT]]</f>
        <v>40.26</v>
      </c>
    </row>
    <row r="769" spans="1:9" x14ac:dyDescent="0.25">
      <c r="A769" t="s">
        <v>1019</v>
      </c>
      <c r="B769" t="s">
        <v>1017</v>
      </c>
      <c r="C769" s="2" t="str">
        <f t="shared" si="14"/>
        <v>août</v>
      </c>
      <c r="D769" t="s">
        <v>69</v>
      </c>
      <c r="E769" t="s">
        <v>1585</v>
      </c>
      <c r="F769">
        <v>5</v>
      </c>
      <c r="G769" t="s">
        <v>39</v>
      </c>
      <c r="H769">
        <v>5.94</v>
      </c>
      <c r="I769">
        <f>Table1[[#This Row],[Quantité corrigé]]*Table1[[#This Row],[Prix_Unitaire_HT]]</f>
        <v>29.700000000000003</v>
      </c>
    </row>
    <row r="770" spans="1:9" x14ac:dyDescent="0.25">
      <c r="A770" t="s">
        <v>1020</v>
      </c>
      <c r="B770" t="s">
        <v>1017</v>
      </c>
      <c r="C770" s="2" t="str">
        <f t="shared" ref="C770:C833" si="15">TEXT(DATE(2024,MID(B770,4,2),_xlfn.TEXTBEFORE(B770,"/",1)),"mmmm")</f>
        <v>août</v>
      </c>
      <c r="D770" t="s">
        <v>69</v>
      </c>
      <c r="E770" t="s">
        <v>1586</v>
      </c>
      <c r="F770">
        <v>12</v>
      </c>
      <c r="G770" t="s">
        <v>43</v>
      </c>
      <c r="H770">
        <v>3.99</v>
      </c>
      <c r="I770">
        <f>Table1[[#This Row],[Quantité corrigé]]*Table1[[#This Row],[Prix_Unitaire_HT]]</f>
        <v>47.88</v>
      </c>
    </row>
    <row r="771" spans="1:9" x14ac:dyDescent="0.25">
      <c r="A771" t="s">
        <v>1021</v>
      </c>
      <c r="B771" t="s">
        <v>1022</v>
      </c>
      <c r="C771" s="2" t="str">
        <f t="shared" si="15"/>
        <v>août</v>
      </c>
      <c r="D771" t="s">
        <v>19</v>
      </c>
      <c r="E771" t="s">
        <v>1580</v>
      </c>
      <c r="F771">
        <v>10</v>
      </c>
      <c r="G771" t="s">
        <v>21</v>
      </c>
      <c r="H771">
        <v>4.32</v>
      </c>
      <c r="I771">
        <f>Table1[[#This Row],[Quantité corrigé]]*Table1[[#This Row],[Prix_Unitaire_HT]]</f>
        <v>43.2</v>
      </c>
    </row>
    <row r="772" spans="1:9" x14ac:dyDescent="0.25">
      <c r="A772" t="s">
        <v>1023</v>
      </c>
      <c r="B772" t="s">
        <v>1022</v>
      </c>
      <c r="C772" s="2" t="str">
        <f t="shared" si="15"/>
        <v>août</v>
      </c>
      <c r="D772" t="s">
        <v>19</v>
      </c>
      <c r="E772" t="s">
        <v>1581</v>
      </c>
      <c r="F772">
        <v>6</v>
      </c>
      <c r="G772" t="s">
        <v>25</v>
      </c>
      <c r="H772">
        <v>21.85</v>
      </c>
      <c r="I772">
        <f>Table1[[#This Row],[Quantité corrigé]]*Table1[[#This Row],[Prix_Unitaire_HT]]</f>
        <v>131.10000000000002</v>
      </c>
    </row>
    <row r="773" spans="1:9" x14ac:dyDescent="0.25">
      <c r="A773" t="s">
        <v>1024</v>
      </c>
      <c r="B773" t="s">
        <v>1022</v>
      </c>
      <c r="C773" s="2" t="str">
        <f t="shared" si="15"/>
        <v>août</v>
      </c>
      <c r="D773" t="s">
        <v>19</v>
      </c>
      <c r="E773" t="s">
        <v>1582</v>
      </c>
      <c r="F773">
        <v>8</v>
      </c>
      <c r="G773" t="s">
        <v>29</v>
      </c>
      <c r="H773">
        <v>10.15</v>
      </c>
      <c r="I773">
        <f>Table1[[#This Row],[Quantité corrigé]]*Table1[[#This Row],[Prix_Unitaire_HT]]</f>
        <v>81.2</v>
      </c>
    </row>
    <row r="774" spans="1:9" x14ac:dyDescent="0.25">
      <c r="A774" t="s">
        <v>1025</v>
      </c>
      <c r="B774" t="s">
        <v>1022</v>
      </c>
      <c r="C774" s="2" t="str">
        <f t="shared" si="15"/>
        <v>août</v>
      </c>
      <c r="D774" t="s">
        <v>50</v>
      </c>
      <c r="E774" t="s">
        <v>1587</v>
      </c>
      <c r="F774">
        <v>4</v>
      </c>
      <c r="G774" t="s">
        <v>52</v>
      </c>
      <c r="H774">
        <v>18.41</v>
      </c>
      <c r="I774">
        <f>Table1[[#This Row],[Quantité corrigé]]*Table1[[#This Row],[Prix_Unitaire_HT]]</f>
        <v>73.64</v>
      </c>
    </row>
    <row r="775" spans="1:9" x14ac:dyDescent="0.25">
      <c r="A775" t="s">
        <v>1026</v>
      </c>
      <c r="B775" t="s">
        <v>1022</v>
      </c>
      <c r="C775" s="2" t="str">
        <f t="shared" si="15"/>
        <v>août</v>
      </c>
      <c r="D775" t="s">
        <v>195</v>
      </c>
      <c r="E775" t="s">
        <v>1588</v>
      </c>
      <c r="F775">
        <v>4</v>
      </c>
      <c r="G775" t="s">
        <v>17</v>
      </c>
      <c r="H775">
        <v>8.44</v>
      </c>
      <c r="I775">
        <f>Table1[[#This Row],[Quantité corrigé]]*Table1[[#This Row],[Prix_Unitaire_HT]]</f>
        <v>33.76</v>
      </c>
    </row>
    <row r="776" spans="1:9" x14ac:dyDescent="0.25">
      <c r="A776" t="s">
        <v>1027</v>
      </c>
      <c r="B776" t="s">
        <v>1028</v>
      </c>
      <c r="C776" s="2" t="str">
        <f t="shared" si="15"/>
        <v>août</v>
      </c>
      <c r="D776" t="s">
        <v>61</v>
      </c>
      <c r="E776" t="s">
        <v>1577</v>
      </c>
      <c r="F776">
        <v>6</v>
      </c>
      <c r="G776" t="s">
        <v>11</v>
      </c>
      <c r="H776">
        <v>14.23</v>
      </c>
      <c r="I776">
        <f>Table1[[#This Row],[Quantité corrigé]]*Table1[[#This Row],[Prix_Unitaire_HT]]</f>
        <v>85.38</v>
      </c>
    </row>
    <row r="777" spans="1:9" x14ac:dyDescent="0.25">
      <c r="A777" t="s">
        <v>1029</v>
      </c>
      <c r="B777" t="s">
        <v>1028</v>
      </c>
      <c r="C777" s="2" t="str">
        <f t="shared" si="15"/>
        <v>août</v>
      </c>
      <c r="D777" t="s">
        <v>61</v>
      </c>
      <c r="E777" t="s">
        <v>1578</v>
      </c>
      <c r="F777">
        <v>5</v>
      </c>
      <c r="G777" t="s">
        <v>11</v>
      </c>
      <c r="H777">
        <v>13.96</v>
      </c>
      <c r="I777">
        <f>Table1[[#This Row],[Quantité corrigé]]*Table1[[#This Row],[Prix_Unitaire_HT]]</f>
        <v>69.800000000000011</v>
      </c>
    </row>
    <row r="778" spans="1:9" x14ac:dyDescent="0.25">
      <c r="A778" t="s">
        <v>1030</v>
      </c>
      <c r="B778" t="s">
        <v>1028</v>
      </c>
      <c r="C778" s="2" t="str">
        <f t="shared" si="15"/>
        <v>août</v>
      </c>
      <c r="D778" t="s">
        <v>61</v>
      </c>
      <c r="E778" t="s">
        <v>1579</v>
      </c>
      <c r="F778">
        <v>5</v>
      </c>
      <c r="G778" t="s">
        <v>17</v>
      </c>
      <c r="H778">
        <v>1.25</v>
      </c>
      <c r="I778">
        <f>Table1[[#This Row],[Quantité corrigé]]*Table1[[#This Row],[Prix_Unitaire_HT]]</f>
        <v>6.25</v>
      </c>
    </row>
    <row r="779" spans="1:9" x14ac:dyDescent="0.25">
      <c r="A779" t="s">
        <v>1031</v>
      </c>
      <c r="B779" t="s">
        <v>1032</v>
      </c>
      <c r="C779" s="2" t="str">
        <f t="shared" si="15"/>
        <v>août</v>
      </c>
      <c r="D779" t="s">
        <v>66</v>
      </c>
      <c r="E779" t="s">
        <v>1583</v>
      </c>
      <c r="F779">
        <v>12</v>
      </c>
      <c r="G779" t="s">
        <v>17</v>
      </c>
      <c r="H779">
        <v>8.57</v>
      </c>
      <c r="I779">
        <f>Table1[[#This Row],[Quantité corrigé]]*Table1[[#This Row],[Prix_Unitaire_HT]]</f>
        <v>102.84</v>
      </c>
    </row>
    <row r="780" spans="1:9" x14ac:dyDescent="0.25">
      <c r="A780" t="s">
        <v>1033</v>
      </c>
      <c r="B780" t="s">
        <v>1032</v>
      </c>
      <c r="C780" s="2" t="str">
        <f t="shared" si="15"/>
        <v>août</v>
      </c>
      <c r="D780" t="s">
        <v>66</v>
      </c>
      <c r="E780" t="s">
        <v>1584</v>
      </c>
      <c r="F780">
        <v>8</v>
      </c>
      <c r="G780" t="s">
        <v>17</v>
      </c>
      <c r="H780">
        <v>7.64</v>
      </c>
      <c r="I780">
        <f>Table1[[#This Row],[Quantité corrigé]]*Table1[[#This Row],[Prix_Unitaire_HT]]</f>
        <v>61.12</v>
      </c>
    </row>
    <row r="781" spans="1:9" x14ac:dyDescent="0.25">
      <c r="A781" t="s">
        <v>1034</v>
      </c>
      <c r="B781" t="s">
        <v>1032</v>
      </c>
      <c r="C781" s="2" t="str">
        <f t="shared" si="15"/>
        <v>août</v>
      </c>
      <c r="D781" t="s">
        <v>69</v>
      </c>
      <c r="E781" t="s">
        <v>1585</v>
      </c>
      <c r="F781">
        <v>12</v>
      </c>
      <c r="G781" t="s">
        <v>39</v>
      </c>
      <c r="H781">
        <v>5.78</v>
      </c>
      <c r="I781">
        <f>Table1[[#This Row],[Quantité corrigé]]*Table1[[#This Row],[Prix_Unitaire_HT]]</f>
        <v>69.36</v>
      </c>
    </row>
    <row r="782" spans="1:9" x14ac:dyDescent="0.25">
      <c r="A782" t="s">
        <v>1035</v>
      </c>
      <c r="B782" t="s">
        <v>1032</v>
      </c>
      <c r="C782" s="2" t="str">
        <f t="shared" si="15"/>
        <v>août</v>
      </c>
      <c r="D782" t="s">
        <v>69</v>
      </c>
      <c r="E782" t="s">
        <v>1586</v>
      </c>
      <c r="F782">
        <v>8</v>
      </c>
      <c r="G782" t="s">
        <v>43</v>
      </c>
      <c r="H782">
        <v>3.95</v>
      </c>
      <c r="I782">
        <f>Table1[[#This Row],[Quantité corrigé]]*Table1[[#This Row],[Prix_Unitaire_HT]]</f>
        <v>31.6</v>
      </c>
    </row>
    <row r="783" spans="1:9" x14ac:dyDescent="0.25">
      <c r="A783" t="s">
        <v>1036</v>
      </c>
      <c r="B783" t="s">
        <v>1037</v>
      </c>
      <c r="C783" s="2" t="str">
        <f t="shared" si="15"/>
        <v>août</v>
      </c>
      <c r="D783" t="s">
        <v>195</v>
      </c>
      <c r="E783" t="s">
        <v>1588</v>
      </c>
      <c r="F783">
        <v>8</v>
      </c>
      <c r="G783" t="s">
        <v>17</v>
      </c>
      <c r="H783">
        <v>8.49</v>
      </c>
      <c r="I783">
        <f>Table1[[#This Row],[Quantité corrigé]]*Table1[[#This Row],[Prix_Unitaire_HT]]</f>
        <v>67.92</v>
      </c>
    </row>
    <row r="784" spans="1:9" x14ac:dyDescent="0.25">
      <c r="A784" t="s">
        <v>1038</v>
      </c>
      <c r="B784" t="s">
        <v>1039</v>
      </c>
      <c r="C784" s="2" t="str">
        <f t="shared" si="15"/>
        <v>août</v>
      </c>
      <c r="D784" t="s">
        <v>61</v>
      </c>
      <c r="E784" t="s">
        <v>1577</v>
      </c>
      <c r="F784">
        <v>4</v>
      </c>
      <c r="G784" t="s">
        <v>11</v>
      </c>
      <c r="H784">
        <v>14.69</v>
      </c>
      <c r="I784">
        <f>Table1[[#This Row],[Quantité corrigé]]*Table1[[#This Row],[Prix_Unitaire_HT]]</f>
        <v>58.76</v>
      </c>
    </row>
    <row r="785" spans="1:9" x14ac:dyDescent="0.25">
      <c r="A785" t="s">
        <v>1040</v>
      </c>
      <c r="B785" t="s">
        <v>1039</v>
      </c>
      <c r="C785" s="2" t="str">
        <f t="shared" si="15"/>
        <v>août</v>
      </c>
      <c r="D785" t="s">
        <v>61</v>
      </c>
      <c r="E785" t="s">
        <v>1578</v>
      </c>
      <c r="F785">
        <v>6</v>
      </c>
      <c r="G785" t="s">
        <v>11</v>
      </c>
      <c r="H785">
        <v>13.95</v>
      </c>
      <c r="I785">
        <f>Table1[[#This Row],[Quantité corrigé]]*Table1[[#This Row],[Prix_Unitaire_HT]]</f>
        <v>83.699999999999989</v>
      </c>
    </row>
    <row r="786" spans="1:9" x14ac:dyDescent="0.25">
      <c r="A786" t="s">
        <v>1041</v>
      </c>
      <c r="B786" t="s">
        <v>1039</v>
      </c>
      <c r="C786" s="2" t="str">
        <f t="shared" si="15"/>
        <v>août</v>
      </c>
      <c r="D786" t="s">
        <v>61</v>
      </c>
      <c r="E786" t="s">
        <v>1579</v>
      </c>
      <c r="F786">
        <v>4</v>
      </c>
      <c r="G786" t="s">
        <v>17</v>
      </c>
      <c r="H786">
        <v>1.22</v>
      </c>
      <c r="I786">
        <f>Table1[[#This Row],[Quantité corrigé]]*Table1[[#This Row],[Prix_Unitaire_HT]]</f>
        <v>4.88</v>
      </c>
    </row>
    <row r="787" spans="1:9" x14ac:dyDescent="0.25">
      <c r="A787" t="s">
        <v>1042</v>
      </c>
      <c r="B787" t="s">
        <v>1039</v>
      </c>
      <c r="C787" s="2" t="str">
        <f t="shared" si="15"/>
        <v>août</v>
      </c>
      <c r="D787" t="s">
        <v>19</v>
      </c>
      <c r="E787" t="s">
        <v>1580</v>
      </c>
      <c r="F787">
        <v>6</v>
      </c>
      <c r="G787" t="s">
        <v>21</v>
      </c>
      <c r="H787">
        <v>4.26</v>
      </c>
      <c r="I787">
        <f>Table1[[#This Row],[Quantité corrigé]]*Table1[[#This Row],[Prix_Unitaire_HT]]</f>
        <v>25.56</v>
      </c>
    </row>
    <row r="788" spans="1:9" x14ac:dyDescent="0.25">
      <c r="A788" t="s">
        <v>1043</v>
      </c>
      <c r="B788" t="s">
        <v>1039</v>
      </c>
      <c r="C788" s="2" t="str">
        <f t="shared" si="15"/>
        <v>août</v>
      </c>
      <c r="D788" t="s">
        <v>19</v>
      </c>
      <c r="E788" t="s">
        <v>1581</v>
      </c>
      <c r="F788">
        <v>6</v>
      </c>
      <c r="G788" t="s">
        <v>25</v>
      </c>
      <c r="H788">
        <v>21.39</v>
      </c>
      <c r="I788">
        <f>Table1[[#This Row],[Quantité corrigé]]*Table1[[#This Row],[Prix_Unitaire_HT]]</f>
        <v>128.34</v>
      </c>
    </row>
    <row r="789" spans="1:9" x14ac:dyDescent="0.25">
      <c r="A789" t="s">
        <v>1044</v>
      </c>
      <c r="B789" t="s">
        <v>1039</v>
      </c>
      <c r="C789" s="2" t="str">
        <f t="shared" si="15"/>
        <v>août</v>
      </c>
      <c r="D789" t="s">
        <v>19</v>
      </c>
      <c r="E789" t="s">
        <v>1582</v>
      </c>
      <c r="F789">
        <v>10</v>
      </c>
      <c r="G789" t="s">
        <v>29</v>
      </c>
      <c r="H789">
        <v>9.4700000000000006</v>
      </c>
      <c r="I789">
        <f>Table1[[#This Row],[Quantité corrigé]]*Table1[[#This Row],[Prix_Unitaire_HT]]</f>
        <v>94.7</v>
      </c>
    </row>
    <row r="790" spans="1:9" x14ac:dyDescent="0.25">
      <c r="A790" t="s">
        <v>1045</v>
      </c>
      <c r="B790" t="s">
        <v>1046</v>
      </c>
      <c r="C790" s="2" t="str">
        <f t="shared" si="15"/>
        <v>août</v>
      </c>
      <c r="D790" t="s">
        <v>66</v>
      </c>
      <c r="E790" t="s">
        <v>1583</v>
      </c>
      <c r="F790">
        <v>6</v>
      </c>
      <c r="G790" t="s">
        <v>17</v>
      </c>
      <c r="H790">
        <v>8.82</v>
      </c>
      <c r="I790">
        <f>Table1[[#This Row],[Quantité corrigé]]*Table1[[#This Row],[Prix_Unitaire_HT]]</f>
        <v>52.92</v>
      </c>
    </row>
    <row r="791" spans="1:9" x14ac:dyDescent="0.25">
      <c r="A791" t="s">
        <v>1047</v>
      </c>
      <c r="B791" t="s">
        <v>1046</v>
      </c>
      <c r="C791" s="2" t="str">
        <f t="shared" si="15"/>
        <v>août</v>
      </c>
      <c r="D791" t="s">
        <v>66</v>
      </c>
      <c r="E791" t="s">
        <v>1584</v>
      </c>
      <c r="F791">
        <v>5</v>
      </c>
      <c r="G791" t="s">
        <v>17</v>
      </c>
      <c r="H791">
        <v>6.99</v>
      </c>
      <c r="I791">
        <f>Table1[[#This Row],[Quantité corrigé]]*Table1[[#This Row],[Prix_Unitaire_HT]]</f>
        <v>34.950000000000003</v>
      </c>
    </row>
    <row r="792" spans="1:9" x14ac:dyDescent="0.25">
      <c r="A792" t="s">
        <v>1048</v>
      </c>
      <c r="B792" t="s">
        <v>1046</v>
      </c>
      <c r="C792" s="2" t="str">
        <f t="shared" si="15"/>
        <v>août</v>
      </c>
      <c r="D792" t="s">
        <v>69</v>
      </c>
      <c r="E792" t="s">
        <v>1585</v>
      </c>
      <c r="F792">
        <v>10</v>
      </c>
      <c r="G792" t="s">
        <v>39</v>
      </c>
      <c r="H792">
        <v>5.88</v>
      </c>
      <c r="I792">
        <f>Table1[[#This Row],[Quantité corrigé]]*Table1[[#This Row],[Prix_Unitaire_HT]]</f>
        <v>58.8</v>
      </c>
    </row>
    <row r="793" spans="1:9" x14ac:dyDescent="0.25">
      <c r="A793" t="s">
        <v>1049</v>
      </c>
      <c r="B793" t="s">
        <v>1046</v>
      </c>
      <c r="C793" s="2" t="str">
        <f t="shared" si="15"/>
        <v>août</v>
      </c>
      <c r="D793" t="s">
        <v>69</v>
      </c>
      <c r="E793" t="s">
        <v>1586</v>
      </c>
      <c r="F793">
        <v>12</v>
      </c>
      <c r="G793" t="s">
        <v>43</v>
      </c>
      <c r="H793">
        <v>4.01</v>
      </c>
      <c r="I793">
        <f>Table1[[#This Row],[Quantité corrigé]]*Table1[[#This Row],[Prix_Unitaire_HT]]</f>
        <v>48.12</v>
      </c>
    </row>
    <row r="794" spans="1:9" x14ac:dyDescent="0.25">
      <c r="A794" t="s">
        <v>1050</v>
      </c>
      <c r="B794" t="s">
        <v>1051</v>
      </c>
      <c r="C794" s="2" t="str">
        <f t="shared" si="15"/>
        <v>août</v>
      </c>
      <c r="D794" t="s">
        <v>19</v>
      </c>
      <c r="E794" t="s">
        <v>1580</v>
      </c>
      <c r="F794">
        <v>4</v>
      </c>
      <c r="G794" t="s">
        <v>21</v>
      </c>
      <c r="H794">
        <v>4.07</v>
      </c>
      <c r="I794">
        <f>Table1[[#This Row],[Quantité corrigé]]*Table1[[#This Row],[Prix_Unitaire_HT]]</f>
        <v>16.28</v>
      </c>
    </row>
    <row r="795" spans="1:9" x14ac:dyDescent="0.25">
      <c r="A795" t="s">
        <v>1052</v>
      </c>
      <c r="B795" t="s">
        <v>1051</v>
      </c>
      <c r="C795" s="2" t="str">
        <f t="shared" si="15"/>
        <v>août</v>
      </c>
      <c r="D795" t="s">
        <v>19</v>
      </c>
      <c r="E795" t="s">
        <v>1581</v>
      </c>
      <c r="F795">
        <v>8</v>
      </c>
      <c r="G795" t="s">
        <v>25</v>
      </c>
      <c r="H795">
        <v>23.15</v>
      </c>
      <c r="I795">
        <f>Table1[[#This Row],[Quantité corrigé]]*Table1[[#This Row],[Prix_Unitaire_HT]]</f>
        <v>185.2</v>
      </c>
    </row>
    <row r="796" spans="1:9" x14ac:dyDescent="0.25">
      <c r="A796" t="s">
        <v>1053</v>
      </c>
      <c r="B796" t="s">
        <v>1051</v>
      </c>
      <c r="C796" s="2" t="str">
        <f t="shared" si="15"/>
        <v>août</v>
      </c>
      <c r="D796" t="s">
        <v>19</v>
      </c>
      <c r="E796" t="s">
        <v>1582</v>
      </c>
      <c r="F796">
        <v>10</v>
      </c>
      <c r="G796" t="s">
        <v>29</v>
      </c>
      <c r="H796">
        <v>9.8000000000000007</v>
      </c>
      <c r="I796">
        <f>Table1[[#This Row],[Quantité corrigé]]*Table1[[#This Row],[Prix_Unitaire_HT]]</f>
        <v>98</v>
      </c>
    </row>
    <row r="797" spans="1:9" x14ac:dyDescent="0.25">
      <c r="A797" t="s">
        <v>1054</v>
      </c>
      <c r="B797" t="s">
        <v>1051</v>
      </c>
      <c r="C797" s="2" t="str">
        <f t="shared" si="15"/>
        <v>août</v>
      </c>
      <c r="D797" t="s">
        <v>50</v>
      </c>
      <c r="E797" t="s">
        <v>1587</v>
      </c>
      <c r="F797">
        <v>3</v>
      </c>
      <c r="G797" t="s">
        <v>52</v>
      </c>
      <c r="H797">
        <v>17.82</v>
      </c>
      <c r="I797">
        <f>Table1[[#This Row],[Quantité corrigé]]*Table1[[#This Row],[Prix_Unitaire_HT]]</f>
        <v>53.46</v>
      </c>
    </row>
    <row r="798" spans="1:9" x14ac:dyDescent="0.25">
      <c r="A798" t="s">
        <v>1055</v>
      </c>
      <c r="B798" t="s">
        <v>1051</v>
      </c>
      <c r="C798" s="2" t="str">
        <f t="shared" si="15"/>
        <v>août</v>
      </c>
      <c r="D798" t="s">
        <v>195</v>
      </c>
      <c r="E798" t="s">
        <v>1588</v>
      </c>
      <c r="F798">
        <v>8</v>
      </c>
      <c r="G798" t="s">
        <v>17</v>
      </c>
      <c r="H798">
        <v>8.42</v>
      </c>
      <c r="I798">
        <f>Table1[[#This Row],[Quantité corrigé]]*Table1[[#This Row],[Prix_Unitaire_HT]]</f>
        <v>67.36</v>
      </c>
    </row>
    <row r="799" spans="1:9" x14ac:dyDescent="0.25">
      <c r="A799" t="s">
        <v>1056</v>
      </c>
      <c r="B799" t="s">
        <v>1057</v>
      </c>
      <c r="C799" s="2" t="str">
        <f t="shared" si="15"/>
        <v>août</v>
      </c>
      <c r="D799" t="s">
        <v>61</v>
      </c>
      <c r="E799" t="s">
        <v>1577</v>
      </c>
      <c r="F799">
        <v>6</v>
      </c>
      <c r="G799" t="s">
        <v>11</v>
      </c>
      <c r="H799">
        <v>15.16</v>
      </c>
      <c r="I799">
        <f>Table1[[#This Row],[Quantité corrigé]]*Table1[[#This Row],[Prix_Unitaire_HT]]</f>
        <v>90.960000000000008</v>
      </c>
    </row>
    <row r="800" spans="1:9" x14ac:dyDescent="0.25">
      <c r="A800" t="s">
        <v>1058</v>
      </c>
      <c r="B800" t="s">
        <v>1057</v>
      </c>
      <c r="C800" s="2" t="str">
        <f t="shared" si="15"/>
        <v>août</v>
      </c>
      <c r="D800" t="s">
        <v>61</v>
      </c>
      <c r="E800" t="s">
        <v>1578</v>
      </c>
      <c r="F800">
        <v>5</v>
      </c>
      <c r="G800" t="s">
        <v>11</v>
      </c>
      <c r="H800">
        <v>13.78</v>
      </c>
      <c r="I800">
        <f>Table1[[#This Row],[Quantité corrigé]]*Table1[[#This Row],[Prix_Unitaire_HT]]</f>
        <v>68.899999999999991</v>
      </c>
    </row>
    <row r="801" spans="1:9" x14ac:dyDescent="0.25">
      <c r="A801" t="s">
        <v>1059</v>
      </c>
      <c r="B801" t="s">
        <v>1057</v>
      </c>
      <c r="C801" s="2" t="str">
        <f t="shared" si="15"/>
        <v>août</v>
      </c>
      <c r="D801" t="s">
        <v>61</v>
      </c>
      <c r="E801" t="s">
        <v>1579</v>
      </c>
      <c r="F801">
        <v>6</v>
      </c>
      <c r="G801" t="s">
        <v>17</v>
      </c>
      <c r="H801">
        <v>1.26</v>
      </c>
      <c r="I801">
        <f>Table1[[#This Row],[Quantité corrigé]]*Table1[[#This Row],[Prix_Unitaire_HT]]</f>
        <v>7.5600000000000005</v>
      </c>
    </row>
    <row r="802" spans="1:9" x14ac:dyDescent="0.25">
      <c r="A802" t="s">
        <v>1060</v>
      </c>
      <c r="B802" t="s">
        <v>1061</v>
      </c>
      <c r="C802" s="2" t="str">
        <f t="shared" si="15"/>
        <v>août</v>
      </c>
      <c r="D802" t="s">
        <v>66</v>
      </c>
      <c r="E802" t="s">
        <v>1583</v>
      </c>
      <c r="F802">
        <v>10</v>
      </c>
      <c r="G802" t="s">
        <v>17</v>
      </c>
      <c r="H802">
        <v>8.67</v>
      </c>
      <c r="I802">
        <f>Table1[[#This Row],[Quantité corrigé]]*Table1[[#This Row],[Prix_Unitaire_HT]]</f>
        <v>86.7</v>
      </c>
    </row>
    <row r="803" spans="1:9" x14ac:dyDescent="0.25">
      <c r="A803" t="s">
        <v>1062</v>
      </c>
      <c r="B803" t="s">
        <v>1061</v>
      </c>
      <c r="C803" s="2" t="str">
        <f t="shared" si="15"/>
        <v>août</v>
      </c>
      <c r="D803" t="s">
        <v>66</v>
      </c>
      <c r="E803" t="s">
        <v>1584</v>
      </c>
      <c r="F803">
        <v>10</v>
      </c>
      <c r="G803" t="s">
        <v>17</v>
      </c>
      <c r="H803">
        <v>6.93</v>
      </c>
      <c r="I803">
        <f>Table1[[#This Row],[Quantité corrigé]]*Table1[[#This Row],[Prix_Unitaire_HT]]</f>
        <v>69.3</v>
      </c>
    </row>
    <row r="804" spans="1:9" x14ac:dyDescent="0.25">
      <c r="A804" t="s">
        <v>1063</v>
      </c>
      <c r="B804" t="s">
        <v>1061</v>
      </c>
      <c r="C804" s="2" t="str">
        <f t="shared" si="15"/>
        <v>août</v>
      </c>
      <c r="D804" t="s">
        <v>69</v>
      </c>
      <c r="E804" t="s">
        <v>1585</v>
      </c>
      <c r="F804">
        <v>8</v>
      </c>
      <c r="G804" t="s">
        <v>39</v>
      </c>
      <c r="H804">
        <v>5.75</v>
      </c>
      <c r="I804">
        <f>Table1[[#This Row],[Quantité corrigé]]*Table1[[#This Row],[Prix_Unitaire_HT]]</f>
        <v>46</v>
      </c>
    </row>
    <row r="805" spans="1:9" x14ac:dyDescent="0.25">
      <c r="A805" t="s">
        <v>1064</v>
      </c>
      <c r="B805" t="s">
        <v>1061</v>
      </c>
      <c r="C805" s="2" t="str">
        <f t="shared" si="15"/>
        <v>août</v>
      </c>
      <c r="D805" t="s">
        <v>69</v>
      </c>
      <c r="E805" t="s">
        <v>1586</v>
      </c>
      <c r="F805">
        <v>10</v>
      </c>
      <c r="G805" t="s">
        <v>43</v>
      </c>
      <c r="H805">
        <v>4</v>
      </c>
      <c r="I805">
        <f>Table1[[#This Row],[Quantité corrigé]]*Table1[[#This Row],[Prix_Unitaire_HT]]</f>
        <v>40</v>
      </c>
    </row>
    <row r="806" spans="1:9" x14ac:dyDescent="0.25">
      <c r="A806" t="s">
        <v>1065</v>
      </c>
      <c r="B806" t="s">
        <v>1066</v>
      </c>
      <c r="C806" s="2" t="str">
        <f t="shared" si="15"/>
        <v>août</v>
      </c>
      <c r="D806" t="s">
        <v>195</v>
      </c>
      <c r="E806" t="s">
        <v>1588</v>
      </c>
      <c r="F806">
        <v>10</v>
      </c>
      <c r="G806" t="s">
        <v>17</v>
      </c>
      <c r="H806">
        <v>8.4600000000000009</v>
      </c>
      <c r="I806">
        <f>Table1[[#This Row],[Quantité corrigé]]*Table1[[#This Row],[Prix_Unitaire_HT]]</f>
        <v>84.600000000000009</v>
      </c>
    </row>
    <row r="807" spans="1:9" x14ac:dyDescent="0.25">
      <c r="A807" t="s">
        <v>1067</v>
      </c>
      <c r="B807" t="s">
        <v>1068</v>
      </c>
      <c r="C807" s="2" t="str">
        <f t="shared" si="15"/>
        <v>septembre</v>
      </c>
      <c r="D807" t="s">
        <v>61</v>
      </c>
      <c r="E807" t="s">
        <v>1577</v>
      </c>
      <c r="F807">
        <v>3</v>
      </c>
      <c r="G807" t="s">
        <v>11</v>
      </c>
      <c r="H807">
        <v>14.19</v>
      </c>
      <c r="I807">
        <f>Table1[[#This Row],[Quantité corrigé]]*Table1[[#This Row],[Prix_Unitaire_HT]]</f>
        <v>42.57</v>
      </c>
    </row>
    <row r="808" spans="1:9" x14ac:dyDescent="0.25">
      <c r="A808" t="s">
        <v>1069</v>
      </c>
      <c r="B808" t="s">
        <v>1068</v>
      </c>
      <c r="C808" s="2" t="str">
        <f t="shared" si="15"/>
        <v>septembre</v>
      </c>
      <c r="D808" t="s">
        <v>61</v>
      </c>
      <c r="E808" t="s">
        <v>1578</v>
      </c>
      <c r="F808">
        <v>3</v>
      </c>
      <c r="G808" t="s">
        <v>11</v>
      </c>
      <c r="H808">
        <v>13.1</v>
      </c>
      <c r="I808">
        <f>Table1[[#This Row],[Quantité corrigé]]*Table1[[#This Row],[Prix_Unitaire_HT]]</f>
        <v>39.299999999999997</v>
      </c>
    </row>
    <row r="809" spans="1:9" x14ac:dyDescent="0.25">
      <c r="A809" t="s">
        <v>1070</v>
      </c>
      <c r="B809" t="s">
        <v>1068</v>
      </c>
      <c r="C809" s="2" t="str">
        <f t="shared" si="15"/>
        <v>septembre</v>
      </c>
      <c r="D809" t="s">
        <v>61</v>
      </c>
      <c r="E809" t="s">
        <v>1579</v>
      </c>
      <c r="F809">
        <v>4</v>
      </c>
      <c r="G809" t="s">
        <v>17</v>
      </c>
      <c r="H809">
        <v>1.19</v>
      </c>
      <c r="I809">
        <f>Table1[[#This Row],[Quantité corrigé]]*Table1[[#This Row],[Prix_Unitaire_HT]]</f>
        <v>4.76</v>
      </c>
    </row>
    <row r="810" spans="1:9" x14ac:dyDescent="0.25">
      <c r="A810" t="s">
        <v>1071</v>
      </c>
      <c r="B810" t="s">
        <v>1068</v>
      </c>
      <c r="C810" s="2" t="str">
        <f t="shared" si="15"/>
        <v>septembre</v>
      </c>
      <c r="D810" t="s">
        <v>19</v>
      </c>
      <c r="E810" t="s">
        <v>1580</v>
      </c>
      <c r="F810">
        <v>4</v>
      </c>
      <c r="G810" t="s">
        <v>21</v>
      </c>
      <c r="H810">
        <v>4.34</v>
      </c>
      <c r="I810">
        <f>Table1[[#This Row],[Quantité corrigé]]*Table1[[#This Row],[Prix_Unitaire_HT]]</f>
        <v>17.36</v>
      </c>
    </row>
    <row r="811" spans="1:9" x14ac:dyDescent="0.25">
      <c r="A811" t="s">
        <v>1072</v>
      </c>
      <c r="B811" t="s">
        <v>1068</v>
      </c>
      <c r="C811" s="2" t="str">
        <f t="shared" si="15"/>
        <v>septembre</v>
      </c>
      <c r="D811" t="s">
        <v>19</v>
      </c>
      <c r="E811" t="s">
        <v>1581</v>
      </c>
      <c r="F811">
        <v>10</v>
      </c>
      <c r="G811" t="s">
        <v>25</v>
      </c>
      <c r="H811">
        <v>21.97</v>
      </c>
      <c r="I811">
        <f>Table1[[#This Row],[Quantité corrigé]]*Table1[[#This Row],[Prix_Unitaire_HT]]</f>
        <v>219.7</v>
      </c>
    </row>
    <row r="812" spans="1:9" x14ac:dyDescent="0.25">
      <c r="A812" t="s">
        <v>1073</v>
      </c>
      <c r="B812" t="s">
        <v>1068</v>
      </c>
      <c r="C812" s="2" t="str">
        <f t="shared" si="15"/>
        <v>septembre</v>
      </c>
      <c r="D812" t="s">
        <v>19</v>
      </c>
      <c r="E812" t="s">
        <v>1582</v>
      </c>
      <c r="F812">
        <v>8</v>
      </c>
      <c r="G812" t="s">
        <v>29</v>
      </c>
      <c r="H812">
        <v>10.06</v>
      </c>
      <c r="I812">
        <f>Table1[[#This Row],[Quantité corrigé]]*Table1[[#This Row],[Prix_Unitaire_HT]]</f>
        <v>80.48</v>
      </c>
    </row>
    <row r="813" spans="1:9" x14ac:dyDescent="0.25">
      <c r="A813" t="s">
        <v>1074</v>
      </c>
      <c r="B813" t="s">
        <v>1075</v>
      </c>
      <c r="C813" s="2" t="str">
        <f t="shared" si="15"/>
        <v>septembre</v>
      </c>
      <c r="D813" t="s">
        <v>66</v>
      </c>
      <c r="E813" t="s">
        <v>1583</v>
      </c>
      <c r="F813">
        <v>5</v>
      </c>
      <c r="G813" t="s">
        <v>17</v>
      </c>
      <c r="H813">
        <v>10.07</v>
      </c>
      <c r="I813">
        <f>Table1[[#This Row],[Quantité corrigé]]*Table1[[#This Row],[Prix_Unitaire_HT]]</f>
        <v>50.35</v>
      </c>
    </row>
    <row r="814" spans="1:9" x14ac:dyDescent="0.25">
      <c r="A814" t="s">
        <v>1076</v>
      </c>
      <c r="B814" t="s">
        <v>1075</v>
      </c>
      <c r="C814" s="2" t="str">
        <f t="shared" si="15"/>
        <v>septembre</v>
      </c>
      <c r="D814" t="s">
        <v>66</v>
      </c>
      <c r="E814" t="s">
        <v>1584</v>
      </c>
      <c r="F814">
        <v>12</v>
      </c>
      <c r="G814" t="s">
        <v>17</v>
      </c>
      <c r="H814">
        <v>6.68</v>
      </c>
      <c r="I814">
        <f>Table1[[#This Row],[Quantité corrigé]]*Table1[[#This Row],[Prix_Unitaire_HT]]</f>
        <v>80.16</v>
      </c>
    </row>
    <row r="815" spans="1:9" x14ac:dyDescent="0.25">
      <c r="A815" t="s">
        <v>1077</v>
      </c>
      <c r="B815" t="s">
        <v>1075</v>
      </c>
      <c r="C815" s="2" t="str">
        <f t="shared" si="15"/>
        <v>septembre</v>
      </c>
      <c r="D815" t="s">
        <v>69</v>
      </c>
      <c r="E815" t="s">
        <v>1585</v>
      </c>
      <c r="F815">
        <v>8</v>
      </c>
      <c r="G815" t="s">
        <v>39</v>
      </c>
      <c r="H815">
        <v>5.98</v>
      </c>
      <c r="I815">
        <f>Table1[[#This Row],[Quantité corrigé]]*Table1[[#This Row],[Prix_Unitaire_HT]]</f>
        <v>47.84</v>
      </c>
    </row>
    <row r="816" spans="1:9" x14ac:dyDescent="0.25">
      <c r="A816" t="s">
        <v>1078</v>
      </c>
      <c r="B816" t="s">
        <v>1075</v>
      </c>
      <c r="C816" s="2" t="str">
        <f t="shared" si="15"/>
        <v>septembre</v>
      </c>
      <c r="D816" t="s">
        <v>69</v>
      </c>
      <c r="E816" t="s">
        <v>1586</v>
      </c>
      <c r="F816">
        <v>5</v>
      </c>
      <c r="G816" t="s">
        <v>43</v>
      </c>
      <c r="H816">
        <v>3.97</v>
      </c>
      <c r="I816">
        <f>Table1[[#This Row],[Quantité corrigé]]*Table1[[#This Row],[Prix_Unitaire_HT]]</f>
        <v>19.850000000000001</v>
      </c>
    </row>
    <row r="817" spans="1:9" x14ac:dyDescent="0.25">
      <c r="A817" t="s">
        <v>1079</v>
      </c>
      <c r="B817" t="s">
        <v>1080</v>
      </c>
      <c r="C817" s="2" t="str">
        <f t="shared" si="15"/>
        <v>septembre</v>
      </c>
      <c r="D817" t="s">
        <v>19</v>
      </c>
      <c r="E817" t="s">
        <v>1580</v>
      </c>
      <c r="F817">
        <v>6</v>
      </c>
      <c r="G817" t="s">
        <v>21</v>
      </c>
      <c r="H817">
        <v>4.25</v>
      </c>
      <c r="I817">
        <f>Table1[[#This Row],[Quantité corrigé]]*Table1[[#This Row],[Prix_Unitaire_HT]]</f>
        <v>25.5</v>
      </c>
    </row>
    <row r="818" spans="1:9" x14ac:dyDescent="0.25">
      <c r="A818" t="s">
        <v>1081</v>
      </c>
      <c r="B818" t="s">
        <v>1080</v>
      </c>
      <c r="C818" s="2" t="str">
        <f t="shared" si="15"/>
        <v>septembre</v>
      </c>
      <c r="D818" t="s">
        <v>19</v>
      </c>
      <c r="E818" t="s">
        <v>1581</v>
      </c>
      <c r="F818">
        <v>8</v>
      </c>
      <c r="G818" t="s">
        <v>25</v>
      </c>
      <c r="H818">
        <v>21.54</v>
      </c>
      <c r="I818">
        <f>Table1[[#This Row],[Quantité corrigé]]*Table1[[#This Row],[Prix_Unitaire_HT]]</f>
        <v>172.32</v>
      </c>
    </row>
    <row r="819" spans="1:9" x14ac:dyDescent="0.25">
      <c r="A819" t="s">
        <v>1082</v>
      </c>
      <c r="B819" t="s">
        <v>1080</v>
      </c>
      <c r="C819" s="2" t="str">
        <f t="shared" si="15"/>
        <v>septembre</v>
      </c>
      <c r="D819" t="s">
        <v>19</v>
      </c>
      <c r="E819" t="s">
        <v>1582</v>
      </c>
      <c r="F819">
        <v>10</v>
      </c>
      <c r="G819" t="s">
        <v>29</v>
      </c>
      <c r="H819">
        <v>9.85</v>
      </c>
      <c r="I819">
        <f>Table1[[#This Row],[Quantité corrigé]]*Table1[[#This Row],[Prix_Unitaire_HT]]</f>
        <v>98.5</v>
      </c>
    </row>
    <row r="820" spans="1:9" x14ac:dyDescent="0.25">
      <c r="A820" t="s">
        <v>1083</v>
      </c>
      <c r="B820" t="s">
        <v>1080</v>
      </c>
      <c r="C820" s="2" t="str">
        <f t="shared" si="15"/>
        <v>septembre</v>
      </c>
      <c r="D820" t="s">
        <v>50</v>
      </c>
      <c r="E820" t="s">
        <v>1587</v>
      </c>
      <c r="F820">
        <v>3</v>
      </c>
      <c r="G820" t="s">
        <v>52</v>
      </c>
      <c r="H820">
        <v>18.18</v>
      </c>
      <c r="I820">
        <f>Table1[[#This Row],[Quantité corrigé]]*Table1[[#This Row],[Prix_Unitaire_HT]]</f>
        <v>54.54</v>
      </c>
    </row>
    <row r="821" spans="1:9" x14ac:dyDescent="0.25">
      <c r="A821" t="s">
        <v>1084</v>
      </c>
      <c r="B821" t="s">
        <v>1080</v>
      </c>
      <c r="C821" s="2" t="str">
        <f t="shared" si="15"/>
        <v>septembre</v>
      </c>
      <c r="D821" t="s">
        <v>195</v>
      </c>
      <c r="E821" t="s">
        <v>1588</v>
      </c>
      <c r="F821">
        <v>4</v>
      </c>
      <c r="G821" t="s">
        <v>17</v>
      </c>
      <c r="H821">
        <v>9.1999999999999993</v>
      </c>
      <c r="I821">
        <f>Table1[[#This Row],[Quantité corrigé]]*Table1[[#This Row],[Prix_Unitaire_HT]]</f>
        <v>36.799999999999997</v>
      </c>
    </row>
    <row r="822" spans="1:9" x14ac:dyDescent="0.25">
      <c r="A822" t="s">
        <v>1085</v>
      </c>
      <c r="B822" t="s">
        <v>1086</v>
      </c>
      <c r="C822" s="2" t="str">
        <f t="shared" si="15"/>
        <v>septembre</v>
      </c>
      <c r="D822" t="s">
        <v>61</v>
      </c>
      <c r="E822" t="s">
        <v>1577</v>
      </c>
      <c r="F822">
        <v>5</v>
      </c>
      <c r="G822" t="s">
        <v>11</v>
      </c>
      <c r="H822">
        <v>14.35</v>
      </c>
      <c r="I822">
        <f>Table1[[#This Row],[Quantité corrigé]]*Table1[[#This Row],[Prix_Unitaire_HT]]</f>
        <v>71.75</v>
      </c>
    </row>
    <row r="823" spans="1:9" x14ac:dyDescent="0.25">
      <c r="A823" t="s">
        <v>1087</v>
      </c>
      <c r="B823" t="s">
        <v>1086</v>
      </c>
      <c r="C823" s="2" t="str">
        <f t="shared" si="15"/>
        <v>septembre</v>
      </c>
      <c r="D823" t="s">
        <v>61</v>
      </c>
      <c r="E823" t="s">
        <v>1578</v>
      </c>
      <c r="F823">
        <v>5</v>
      </c>
      <c r="G823" t="s">
        <v>11</v>
      </c>
      <c r="H823">
        <v>13.98</v>
      </c>
      <c r="I823">
        <f>Table1[[#This Row],[Quantité corrigé]]*Table1[[#This Row],[Prix_Unitaire_HT]]</f>
        <v>69.900000000000006</v>
      </c>
    </row>
    <row r="824" spans="1:9" x14ac:dyDescent="0.25">
      <c r="A824" t="s">
        <v>1088</v>
      </c>
      <c r="B824" t="s">
        <v>1086</v>
      </c>
      <c r="C824" s="2" t="str">
        <f t="shared" si="15"/>
        <v>septembre</v>
      </c>
      <c r="D824" t="s">
        <v>61</v>
      </c>
      <c r="E824" t="s">
        <v>1579</v>
      </c>
      <c r="F824">
        <v>5</v>
      </c>
      <c r="G824" t="s">
        <v>17</v>
      </c>
      <c r="H824">
        <v>1.23</v>
      </c>
      <c r="I824">
        <f>Table1[[#This Row],[Quantité corrigé]]*Table1[[#This Row],[Prix_Unitaire_HT]]</f>
        <v>6.15</v>
      </c>
    </row>
    <row r="825" spans="1:9" x14ac:dyDescent="0.25">
      <c r="A825" t="s">
        <v>1089</v>
      </c>
      <c r="B825" t="s">
        <v>1090</v>
      </c>
      <c r="C825" s="2" t="str">
        <f t="shared" si="15"/>
        <v>septembre</v>
      </c>
      <c r="D825" t="s">
        <v>66</v>
      </c>
      <c r="E825" t="s">
        <v>1583</v>
      </c>
      <c r="F825">
        <v>12</v>
      </c>
      <c r="G825" t="s">
        <v>17</v>
      </c>
      <c r="H825">
        <v>8.7899999999999991</v>
      </c>
      <c r="I825">
        <f>Table1[[#This Row],[Quantité corrigé]]*Table1[[#This Row],[Prix_Unitaire_HT]]</f>
        <v>105.47999999999999</v>
      </c>
    </row>
    <row r="826" spans="1:9" x14ac:dyDescent="0.25">
      <c r="A826" t="s">
        <v>1091</v>
      </c>
      <c r="B826" t="s">
        <v>1090</v>
      </c>
      <c r="C826" s="2" t="str">
        <f t="shared" si="15"/>
        <v>septembre</v>
      </c>
      <c r="D826" t="s">
        <v>66</v>
      </c>
      <c r="E826" t="s">
        <v>1584</v>
      </c>
      <c r="F826">
        <v>12</v>
      </c>
      <c r="G826" t="s">
        <v>17</v>
      </c>
      <c r="H826">
        <v>7.55</v>
      </c>
      <c r="I826">
        <f>Table1[[#This Row],[Quantité corrigé]]*Table1[[#This Row],[Prix_Unitaire_HT]]</f>
        <v>90.6</v>
      </c>
    </row>
    <row r="827" spans="1:9" x14ac:dyDescent="0.25">
      <c r="A827" t="s">
        <v>1092</v>
      </c>
      <c r="B827" t="s">
        <v>1090</v>
      </c>
      <c r="C827" s="2" t="str">
        <f t="shared" si="15"/>
        <v>septembre</v>
      </c>
      <c r="D827" t="s">
        <v>69</v>
      </c>
      <c r="E827" t="s">
        <v>1585</v>
      </c>
      <c r="F827">
        <v>5</v>
      </c>
      <c r="G827" t="s">
        <v>39</v>
      </c>
      <c r="H827">
        <v>5.92</v>
      </c>
      <c r="I827">
        <f>Table1[[#This Row],[Quantité corrigé]]*Table1[[#This Row],[Prix_Unitaire_HT]]</f>
        <v>29.6</v>
      </c>
    </row>
    <row r="828" spans="1:9" x14ac:dyDescent="0.25">
      <c r="A828" t="s">
        <v>1093</v>
      </c>
      <c r="B828" t="s">
        <v>1090</v>
      </c>
      <c r="C828" s="2" t="str">
        <f t="shared" si="15"/>
        <v>septembre</v>
      </c>
      <c r="D828" t="s">
        <v>69</v>
      </c>
      <c r="E828" t="s">
        <v>1586</v>
      </c>
      <c r="F828">
        <v>12</v>
      </c>
      <c r="G828" t="s">
        <v>43</v>
      </c>
      <c r="H828">
        <v>3.88</v>
      </c>
      <c r="I828">
        <f>Table1[[#This Row],[Quantité corrigé]]*Table1[[#This Row],[Prix_Unitaire_HT]]</f>
        <v>46.56</v>
      </c>
    </row>
    <row r="829" spans="1:9" x14ac:dyDescent="0.25">
      <c r="A829" t="s">
        <v>1094</v>
      </c>
      <c r="B829" t="s">
        <v>1095</v>
      </c>
      <c r="C829" s="2" t="str">
        <f t="shared" si="15"/>
        <v>septembre</v>
      </c>
      <c r="D829" t="s">
        <v>195</v>
      </c>
      <c r="E829" t="s">
        <v>1588</v>
      </c>
      <c r="F829">
        <v>6</v>
      </c>
      <c r="G829" t="s">
        <v>17</v>
      </c>
      <c r="H829">
        <v>9.1999999999999993</v>
      </c>
      <c r="I829">
        <f>Table1[[#This Row],[Quantité corrigé]]*Table1[[#This Row],[Prix_Unitaire_HT]]</f>
        <v>55.199999999999996</v>
      </c>
    </row>
    <row r="830" spans="1:9" x14ac:dyDescent="0.25">
      <c r="A830" t="s">
        <v>1096</v>
      </c>
      <c r="B830" t="s">
        <v>1097</v>
      </c>
      <c r="C830" s="2" t="str">
        <f t="shared" si="15"/>
        <v>septembre</v>
      </c>
      <c r="D830" t="s">
        <v>61</v>
      </c>
      <c r="E830" t="s">
        <v>1577</v>
      </c>
      <c r="F830">
        <v>6</v>
      </c>
      <c r="G830" t="s">
        <v>11</v>
      </c>
      <c r="H830">
        <v>15.14</v>
      </c>
      <c r="I830">
        <f>Table1[[#This Row],[Quantité corrigé]]*Table1[[#This Row],[Prix_Unitaire_HT]]</f>
        <v>90.84</v>
      </c>
    </row>
    <row r="831" spans="1:9" x14ac:dyDescent="0.25">
      <c r="A831" t="s">
        <v>1098</v>
      </c>
      <c r="B831" t="s">
        <v>1097</v>
      </c>
      <c r="C831" s="2" t="str">
        <f t="shared" si="15"/>
        <v>septembre</v>
      </c>
      <c r="D831" t="s">
        <v>61</v>
      </c>
      <c r="E831" t="s">
        <v>1578</v>
      </c>
      <c r="F831">
        <v>5</v>
      </c>
      <c r="G831" t="s">
        <v>11</v>
      </c>
      <c r="H831">
        <v>13.81</v>
      </c>
      <c r="I831">
        <f>Table1[[#This Row],[Quantité corrigé]]*Table1[[#This Row],[Prix_Unitaire_HT]]</f>
        <v>69.05</v>
      </c>
    </row>
    <row r="832" spans="1:9" x14ac:dyDescent="0.25">
      <c r="A832" t="s">
        <v>1099</v>
      </c>
      <c r="B832" t="s">
        <v>1097</v>
      </c>
      <c r="C832" s="2" t="str">
        <f t="shared" si="15"/>
        <v>septembre</v>
      </c>
      <c r="D832" t="s">
        <v>61</v>
      </c>
      <c r="E832" t="s">
        <v>1579</v>
      </c>
      <c r="F832">
        <v>4</v>
      </c>
      <c r="G832" t="s">
        <v>17</v>
      </c>
      <c r="H832">
        <v>1.2</v>
      </c>
      <c r="I832">
        <f>Table1[[#This Row],[Quantité corrigé]]*Table1[[#This Row],[Prix_Unitaire_HT]]</f>
        <v>4.8</v>
      </c>
    </row>
    <row r="833" spans="1:9" x14ac:dyDescent="0.25">
      <c r="A833" t="s">
        <v>1100</v>
      </c>
      <c r="B833" t="s">
        <v>1097</v>
      </c>
      <c r="C833" s="2" t="str">
        <f t="shared" si="15"/>
        <v>septembre</v>
      </c>
      <c r="D833" t="s">
        <v>19</v>
      </c>
      <c r="E833" t="s">
        <v>1580</v>
      </c>
      <c r="F833">
        <v>6</v>
      </c>
      <c r="G833" t="s">
        <v>21</v>
      </c>
      <c r="H833">
        <v>4.3899999999999997</v>
      </c>
      <c r="I833">
        <f>Table1[[#This Row],[Quantité corrigé]]*Table1[[#This Row],[Prix_Unitaire_HT]]</f>
        <v>26.339999999999996</v>
      </c>
    </row>
    <row r="834" spans="1:9" x14ac:dyDescent="0.25">
      <c r="A834" t="s">
        <v>1101</v>
      </c>
      <c r="B834" t="s">
        <v>1097</v>
      </c>
      <c r="C834" s="2" t="str">
        <f t="shared" ref="C834:C897" si="16">TEXT(DATE(2024,MID(B834,4,2),_xlfn.TEXTBEFORE(B834,"/",1)),"mmmm")</f>
        <v>septembre</v>
      </c>
      <c r="D834" t="s">
        <v>19</v>
      </c>
      <c r="E834" t="s">
        <v>1581</v>
      </c>
      <c r="F834">
        <v>6</v>
      </c>
      <c r="G834" t="s">
        <v>25</v>
      </c>
      <c r="H834">
        <v>22.77</v>
      </c>
      <c r="I834">
        <f>Table1[[#This Row],[Quantité corrigé]]*Table1[[#This Row],[Prix_Unitaire_HT]]</f>
        <v>136.62</v>
      </c>
    </row>
    <row r="835" spans="1:9" x14ac:dyDescent="0.25">
      <c r="A835" t="s">
        <v>1102</v>
      </c>
      <c r="B835" t="s">
        <v>1097</v>
      </c>
      <c r="C835" s="2" t="str">
        <f t="shared" si="16"/>
        <v>septembre</v>
      </c>
      <c r="D835" t="s">
        <v>19</v>
      </c>
      <c r="E835" t="s">
        <v>1582</v>
      </c>
      <c r="F835">
        <v>8</v>
      </c>
      <c r="G835" t="s">
        <v>29</v>
      </c>
      <c r="H835">
        <v>9.85</v>
      </c>
      <c r="I835">
        <f>Table1[[#This Row],[Quantité corrigé]]*Table1[[#This Row],[Prix_Unitaire_HT]]</f>
        <v>78.8</v>
      </c>
    </row>
    <row r="836" spans="1:9" x14ac:dyDescent="0.25">
      <c r="A836" t="s">
        <v>1103</v>
      </c>
      <c r="B836" t="s">
        <v>1104</v>
      </c>
      <c r="C836" s="2" t="str">
        <f t="shared" si="16"/>
        <v>septembre</v>
      </c>
      <c r="D836" t="s">
        <v>66</v>
      </c>
      <c r="E836" t="s">
        <v>1583</v>
      </c>
      <c r="F836">
        <v>5</v>
      </c>
      <c r="G836" t="s">
        <v>17</v>
      </c>
      <c r="H836">
        <v>9.42</v>
      </c>
      <c r="I836">
        <f>Table1[[#This Row],[Quantité corrigé]]*Table1[[#This Row],[Prix_Unitaire_HT]]</f>
        <v>47.1</v>
      </c>
    </row>
    <row r="837" spans="1:9" x14ac:dyDescent="0.25">
      <c r="A837" t="s">
        <v>1105</v>
      </c>
      <c r="B837" t="s">
        <v>1104</v>
      </c>
      <c r="C837" s="2" t="str">
        <f t="shared" si="16"/>
        <v>septembre</v>
      </c>
      <c r="D837" t="s">
        <v>66</v>
      </c>
      <c r="E837" t="s">
        <v>1584</v>
      </c>
      <c r="F837">
        <v>6</v>
      </c>
      <c r="G837" t="s">
        <v>17</v>
      </c>
      <c r="H837">
        <v>7.17</v>
      </c>
      <c r="I837">
        <f>Table1[[#This Row],[Quantité corrigé]]*Table1[[#This Row],[Prix_Unitaire_HT]]</f>
        <v>43.019999999999996</v>
      </c>
    </row>
    <row r="838" spans="1:9" x14ac:dyDescent="0.25">
      <c r="A838" t="s">
        <v>1106</v>
      </c>
      <c r="B838" t="s">
        <v>1104</v>
      </c>
      <c r="C838" s="2" t="str">
        <f t="shared" si="16"/>
        <v>septembre</v>
      </c>
      <c r="D838" t="s">
        <v>69</v>
      </c>
      <c r="E838" t="s">
        <v>1585</v>
      </c>
      <c r="F838">
        <v>12</v>
      </c>
      <c r="G838" t="s">
        <v>39</v>
      </c>
      <c r="H838">
        <v>5.87</v>
      </c>
      <c r="I838">
        <f>Table1[[#This Row],[Quantité corrigé]]*Table1[[#This Row],[Prix_Unitaire_HT]]</f>
        <v>70.44</v>
      </c>
    </row>
    <row r="839" spans="1:9" x14ac:dyDescent="0.25">
      <c r="A839" t="s">
        <v>1107</v>
      </c>
      <c r="B839" t="s">
        <v>1104</v>
      </c>
      <c r="C839" s="2" t="str">
        <f t="shared" si="16"/>
        <v>septembre</v>
      </c>
      <c r="D839" t="s">
        <v>69</v>
      </c>
      <c r="E839" t="s">
        <v>1586</v>
      </c>
      <c r="F839">
        <v>8</v>
      </c>
      <c r="G839" t="s">
        <v>43</v>
      </c>
      <c r="H839">
        <v>3.85</v>
      </c>
      <c r="I839">
        <f>Table1[[#This Row],[Quantité corrigé]]*Table1[[#This Row],[Prix_Unitaire_HT]]</f>
        <v>30.8</v>
      </c>
    </row>
    <row r="840" spans="1:9" x14ac:dyDescent="0.25">
      <c r="A840" t="s">
        <v>1108</v>
      </c>
      <c r="B840" t="s">
        <v>1109</v>
      </c>
      <c r="C840" s="2" t="str">
        <f t="shared" si="16"/>
        <v>septembre</v>
      </c>
      <c r="D840" t="s">
        <v>19</v>
      </c>
      <c r="E840" t="s">
        <v>1580</v>
      </c>
      <c r="F840">
        <v>6</v>
      </c>
      <c r="G840" t="s">
        <v>21</v>
      </c>
      <c r="H840">
        <v>4.07</v>
      </c>
      <c r="I840">
        <f>Table1[[#This Row],[Quantité corrigé]]*Table1[[#This Row],[Prix_Unitaire_HT]]</f>
        <v>24.42</v>
      </c>
    </row>
    <row r="841" spans="1:9" x14ac:dyDescent="0.25">
      <c r="A841" t="s">
        <v>1110</v>
      </c>
      <c r="B841" t="s">
        <v>1109</v>
      </c>
      <c r="C841" s="2" t="str">
        <f t="shared" si="16"/>
        <v>septembre</v>
      </c>
      <c r="D841" t="s">
        <v>19</v>
      </c>
      <c r="E841" t="s">
        <v>1581</v>
      </c>
      <c r="F841">
        <v>6</v>
      </c>
      <c r="G841" t="s">
        <v>25</v>
      </c>
      <c r="H841">
        <v>21.85</v>
      </c>
      <c r="I841">
        <f>Table1[[#This Row],[Quantité corrigé]]*Table1[[#This Row],[Prix_Unitaire_HT]]</f>
        <v>131.10000000000002</v>
      </c>
    </row>
    <row r="842" spans="1:9" x14ac:dyDescent="0.25">
      <c r="A842" t="s">
        <v>1111</v>
      </c>
      <c r="B842" t="s">
        <v>1109</v>
      </c>
      <c r="C842" s="2" t="str">
        <f t="shared" si="16"/>
        <v>septembre</v>
      </c>
      <c r="D842" t="s">
        <v>19</v>
      </c>
      <c r="E842" t="s">
        <v>1582</v>
      </c>
      <c r="F842">
        <v>8</v>
      </c>
      <c r="G842" t="s">
        <v>29</v>
      </c>
      <c r="H842">
        <v>9.32</v>
      </c>
      <c r="I842">
        <f>Table1[[#This Row],[Quantité corrigé]]*Table1[[#This Row],[Prix_Unitaire_HT]]</f>
        <v>74.56</v>
      </c>
    </row>
    <row r="843" spans="1:9" x14ac:dyDescent="0.25">
      <c r="A843" t="s">
        <v>1112</v>
      </c>
      <c r="B843" t="s">
        <v>1109</v>
      </c>
      <c r="C843" s="2" t="str">
        <f t="shared" si="16"/>
        <v>septembre</v>
      </c>
      <c r="D843" t="s">
        <v>50</v>
      </c>
      <c r="E843" t="s">
        <v>1587</v>
      </c>
      <c r="F843">
        <v>2</v>
      </c>
      <c r="G843" t="s">
        <v>52</v>
      </c>
      <c r="H843">
        <v>18.72</v>
      </c>
      <c r="I843">
        <f>Table1[[#This Row],[Quantité corrigé]]*Table1[[#This Row],[Prix_Unitaire_HT]]</f>
        <v>37.44</v>
      </c>
    </row>
    <row r="844" spans="1:9" x14ac:dyDescent="0.25">
      <c r="A844" t="s">
        <v>1113</v>
      </c>
      <c r="B844" t="s">
        <v>1109</v>
      </c>
      <c r="C844" s="2" t="str">
        <f t="shared" si="16"/>
        <v>septembre</v>
      </c>
      <c r="D844" t="s">
        <v>195</v>
      </c>
      <c r="E844" t="s">
        <v>1588</v>
      </c>
      <c r="F844">
        <v>10</v>
      </c>
      <c r="G844" t="s">
        <v>17</v>
      </c>
      <c r="H844">
        <v>8.5500000000000007</v>
      </c>
      <c r="I844">
        <f>Table1[[#This Row],[Quantité corrigé]]*Table1[[#This Row],[Prix_Unitaire_HT]]</f>
        <v>85.5</v>
      </c>
    </row>
    <row r="845" spans="1:9" x14ac:dyDescent="0.25">
      <c r="A845" t="s">
        <v>1114</v>
      </c>
      <c r="B845" t="s">
        <v>1115</v>
      </c>
      <c r="C845" s="2" t="str">
        <f t="shared" si="16"/>
        <v>septembre</v>
      </c>
      <c r="D845" t="s">
        <v>61</v>
      </c>
      <c r="E845" t="s">
        <v>1577</v>
      </c>
      <c r="F845">
        <v>6</v>
      </c>
      <c r="G845" t="s">
        <v>11</v>
      </c>
      <c r="H845">
        <v>15.22</v>
      </c>
      <c r="I845">
        <f>Table1[[#This Row],[Quantité corrigé]]*Table1[[#This Row],[Prix_Unitaire_HT]]</f>
        <v>91.320000000000007</v>
      </c>
    </row>
    <row r="846" spans="1:9" x14ac:dyDescent="0.25">
      <c r="A846" t="s">
        <v>1116</v>
      </c>
      <c r="B846" t="s">
        <v>1115</v>
      </c>
      <c r="C846" s="2" t="str">
        <f t="shared" si="16"/>
        <v>septembre</v>
      </c>
      <c r="D846" t="s">
        <v>61</v>
      </c>
      <c r="E846" t="s">
        <v>1578</v>
      </c>
      <c r="F846">
        <v>4</v>
      </c>
      <c r="G846" t="s">
        <v>11</v>
      </c>
      <c r="H846">
        <v>13.67</v>
      </c>
      <c r="I846">
        <f>Table1[[#This Row],[Quantité corrigé]]*Table1[[#This Row],[Prix_Unitaire_HT]]</f>
        <v>54.68</v>
      </c>
    </row>
    <row r="847" spans="1:9" x14ac:dyDescent="0.25">
      <c r="A847" t="s">
        <v>1117</v>
      </c>
      <c r="B847" t="s">
        <v>1115</v>
      </c>
      <c r="C847" s="2" t="str">
        <f t="shared" si="16"/>
        <v>septembre</v>
      </c>
      <c r="D847" t="s">
        <v>61</v>
      </c>
      <c r="E847" t="s">
        <v>1579</v>
      </c>
      <c r="F847">
        <v>6</v>
      </c>
      <c r="G847" t="s">
        <v>17</v>
      </c>
      <c r="H847">
        <v>1.17</v>
      </c>
      <c r="I847">
        <f>Table1[[#This Row],[Quantité corrigé]]*Table1[[#This Row],[Prix_Unitaire_HT]]</f>
        <v>7.02</v>
      </c>
    </row>
    <row r="848" spans="1:9" x14ac:dyDescent="0.25">
      <c r="A848" t="s">
        <v>1118</v>
      </c>
      <c r="B848" t="s">
        <v>1119</v>
      </c>
      <c r="C848" s="2" t="str">
        <f t="shared" si="16"/>
        <v>septembre</v>
      </c>
      <c r="D848" t="s">
        <v>66</v>
      </c>
      <c r="E848" t="s">
        <v>1583</v>
      </c>
      <c r="F848">
        <v>8</v>
      </c>
      <c r="G848" t="s">
        <v>17</v>
      </c>
      <c r="H848">
        <v>8.8800000000000008</v>
      </c>
      <c r="I848">
        <f>Table1[[#This Row],[Quantité corrigé]]*Table1[[#This Row],[Prix_Unitaire_HT]]</f>
        <v>71.040000000000006</v>
      </c>
    </row>
    <row r="849" spans="1:9" x14ac:dyDescent="0.25">
      <c r="A849" t="s">
        <v>1120</v>
      </c>
      <c r="B849" t="s">
        <v>1119</v>
      </c>
      <c r="C849" s="2" t="str">
        <f t="shared" si="16"/>
        <v>septembre</v>
      </c>
      <c r="D849" t="s">
        <v>66</v>
      </c>
      <c r="E849" t="s">
        <v>1584</v>
      </c>
      <c r="F849">
        <v>12</v>
      </c>
      <c r="G849" t="s">
        <v>17</v>
      </c>
      <c r="H849">
        <v>7.07</v>
      </c>
      <c r="I849">
        <f>Table1[[#This Row],[Quantité corrigé]]*Table1[[#This Row],[Prix_Unitaire_HT]]</f>
        <v>84.84</v>
      </c>
    </row>
    <row r="850" spans="1:9" x14ac:dyDescent="0.25">
      <c r="A850" t="s">
        <v>1121</v>
      </c>
      <c r="B850" t="s">
        <v>1119</v>
      </c>
      <c r="C850" s="2" t="str">
        <f t="shared" si="16"/>
        <v>septembre</v>
      </c>
      <c r="D850" t="s">
        <v>69</v>
      </c>
      <c r="E850" t="s">
        <v>1585</v>
      </c>
      <c r="F850">
        <v>10</v>
      </c>
      <c r="G850" t="s">
        <v>39</v>
      </c>
      <c r="H850">
        <v>5.97</v>
      </c>
      <c r="I850">
        <f>Table1[[#This Row],[Quantité corrigé]]*Table1[[#This Row],[Prix_Unitaire_HT]]</f>
        <v>59.699999999999996</v>
      </c>
    </row>
    <row r="851" spans="1:9" x14ac:dyDescent="0.25">
      <c r="A851" t="s">
        <v>1122</v>
      </c>
      <c r="B851" t="s">
        <v>1119</v>
      </c>
      <c r="C851" s="2" t="str">
        <f t="shared" si="16"/>
        <v>septembre</v>
      </c>
      <c r="D851" t="s">
        <v>69</v>
      </c>
      <c r="E851" t="s">
        <v>1586</v>
      </c>
      <c r="F851">
        <v>10</v>
      </c>
      <c r="G851" t="s">
        <v>43</v>
      </c>
      <c r="H851">
        <v>3.99</v>
      </c>
      <c r="I851">
        <f>Table1[[#This Row],[Quantité corrigé]]*Table1[[#This Row],[Prix_Unitaire_HT]]</f>
        <v>39.900000000000006</v>
      </c>
    </row>
    <row r="852" spans="1:9" x14ac:dyDescent="0.25">
      <c r="A852" t="s">
        <v>1123</v>
      </c>
      <c r="B852" t="s">
        <v>1124</v>
      </c>
      <c r="C852" s="2" t="str">
        <f t="shared" si="16"/>
        <v>septembre</v>
      </c>
      <c r="D852" t="s">
        <v>195</v>
      </c>
      <c r="E852" t="s">
        <v>1588</v>
      </c>
      <c r="F852">
        <v>10</v>
      </c>
      <c r="G852" t="s">
        <v>17</v>
      </c>
      <c r="H852">
        <v>8.85</v>
      </c>
      <c r="I852">
        <f>Table1[[#This Row],[Quantité corrigé]]*Table1[[#This Row],[Prix_Unitaire_HT]]</f>
        <v>88.5</v>
      </c>
    </row>
    <row r="853" spans="1:9" x14ac:dyDescent="0.25">
      <c r="A853" t="s">
        <v>1125</v>
      </c>
      <c r="B853" t="s">
        <v>1126</v>
      </c>
      <c r="C853" s="2" t="str">
        <f t="shared" si="16"/>
        <v>septembre</v>
      </c>
      <c r="D853" t="s">
        <v>61</v>
      </c>
      <c r="E853" t="s">
        <v>1577</v>
      </c>
      <c r="F853">
        <v>4</v>
      </c>
      <c r="G853" t="s">
        <v>11</v>
      </c>
      <c r="H853">
        <v>15.2</v>
      </c>
      <c r="I853">
        <f>Table1[[#This Row],[Quantité corrigé]]*Table1[[#This Row],[Prix_Unitaire_HT]]</f>
        <v>60.8</v>
      </c>
    </row>
    <row r="854" spans="1:9" x14ac:dyDescent="0.25">
      <c r="A854" t="s">
        <v>1127</v>
      </c>
      <c r="B854" t="s">
        <v>1126</v>
      </c>
      <c r="C854" s="2" t="str">
        <f t="shared" si="16"/>
        <v>septembre</v>
      </c>
      <c r="D854" t="s">
        <v>61</v>
      </c>
      <c r="E854" t="s">
        <v>1578</v>
      </c>
      <c r="F854">
        <v>3</v>
      </c>
      <c r="G854" t="s">
        <v>11</v>
      </c>
      <c r="H854">
        <v>13.08</v>
      </c>
      <c r="I854">
        <f>Table1[[#This Row],[Quantité corrigé]]*Table1[[#This Row],[Prix_Unitaire_HT]]</f>
        <v>39.24</v>
      </c>
    </row>
    <row r="855" spans="1:9" x14ac:dyDescent="0.25">
      <c r="A855" t="s">
        <v>1128</v>
      </c>
      <c r="B855" t="s">
        <v>1126</v>
      </c>
      <c r="C855" s="2" t="str">
        <f t="shared" si="16"/>
        <v>septembre</v>
      </c>
      <c r="D855" t="s">
        <v>61</v>
      </c>
      <c r="E855" t="s">
        <v>1579</v>
      </c>
      <c r="F855">
        <v>4</v>
      </c>
      <c r="G855" t="s">
        <v>17</v>
      </c>
      <c r="H855">
        <v>1.24</v>
      </c>
      <c r="I855">
        <f>Table1[[#This Row],[Quantité corrigé]]*Table1[[#This Row],[Prix_Unitaire_HT]]</f>
        <v>4.96</v>
      </c>
    </row>
    <row r="856" spans="1:9" x14ac:dyDescent="0.25">
      <c r="A856" t="s">
        <v>1129</v>
      </c>
      <c r="B856" t="s">
        <v>1126</v>
      </c>
      <c r="C856" s="2" t="str">
        <f t="shared" si="16"/>
        <v>septembre</v>
      </c>
      <c r="D856" t="s">
        <v>19</v>
      </c>
      <c r="E856" t="s">
        <v>1580</v>
      </c>
      <c r="F856">
        <v>4</v>
      </c>
      <c r="G856" t="s">
        <v>21</v>
      </c>
      <c r="H856">
        <v>4.0599999999999996</v>
      </c>
      <c r="I856">
        <f>Table1[[#This Row],[Quantité corrigé]]*Table1[[#This Row],[Prix_Unitaire_HT]]</f>
        <v>16.239999999999998</v>
      </c>
    </row>
    <row r="857" spans="1:9" x14ac:dyDescent="0.25">
      <c r="A857" t="s">
        <v>1130</v>
      </c>
      <c r="B857" t="s">
        <v>1126</v>
      </c>
      <c r="C857" s="2" t="str">
        <f t="shared" si="16"/>
        <v>septembre</v>
      </c>
      <c r="D857" t="s">
        <v>19</v>
      </c>
      <c r="E857" t="s">
        <v>1581</v>
      </c>
      <c r="F857">
        <v>4</v>
      </c>
      <c r="G857" t="s">
        <v>25</v>
      </c>
      <c r="H857">
        <v>23.11</v>
      </c>
      <c r="I857">
        <f>Table1[[#This Row],[Quantité corrigé]]*Table1[[#This Row],[Prix_Unitaire_HT]]</f>
        <v>92.44</v>
      </c>
    </row>
    <row r="858" spans="1:9" x14ac:dyDescent="0.25">
      <c r="A858" t="s">
        <v>1131</v>
      </c>
      <c r="B858" t="s">
        <v>1126</v>
      </c>
      <c r="C858" s="2" t="str">
        <f t="shared" si="16"/>
        <v>septembre</v>
      </c>
      <c r="D858" t="s">
        <v>19</v>
      </c>
      <c r="E858" t="s">
        <v>1582</v>
      </c>
      <c r="F858">
        <v>4</v>
      </c>
      <c r="G858" t="s">
        <v>29</v>
      </c>
      <c r="H858">
        <v>10.15</v>
      </c>
      <c r="I858">
        <f>Table1[[#This Row],[Quantité corrigé]]*Table1[[#This Row],[Prix_Unitaire_HT]]</f>
        <v>40.6</v>
      </c>
    </row>
    <row r="859" spans="1:9" x14ac:dyDescent="0.25">
      <c r="A859" t="s">
        <v>1132</v>
      </c>
      <c r="B859" t="s">
        <v>1133</v>
      </c>
      <c r="C859" s="2" t="str">
        <f t="shared" si="16"/>
        <v>septembre</v>
      </c>
      <c r="D859" t="s">
        <v>66</v>
      </c>
      <c r="E859" t="s">
        <v>1583</v>
      </c>
      <c r="F859">
        <v>10</v>
      </c>
      <c r="G859" t="s">
        <v>17</v>
      </c>
      <c r="H859">
        <v>9.31</v>
      </c>
      <c r="I859">
        <f>Table1[[#This Row],[Quantité corrigé]]*Table1[[#This Row],[Prix_Unitaire_HT]]</f>
        <v>93.100000000000009</v>
      </c>
    </row>
    <row r="860" spans="1:9" x14ac:dyDescent="0.25">
      <c r="A860" t="s">
        <v>1134</v>
      </c>
      <c r="B860" t="s">
        <v>1133</v>
      </c>
      <c r="C860" s="2" t="str">
        <f t="shared" si="16"/>
        <v>septembre</v>
      </c>
      <c r="D860" t="s">
        <v>66</v>
      </c>
      <c r="E860" t="s">
        <v>1584</v>
      </c>
      <c r="F860">
        <v>6</v>
      </c>
      <c r="G860" t="s">
        <v>17</v>
      </c>
      <c r="H860">
        <v>7.17</v>
      </c>
      <c r="I860">
        <f>Table1[[#This Row],[Quantité corrigé]]*Table1[[#This Row],[Prix_Unitaire_HT]]</f>
        <v>43.019999999999996</v>
      </c>
    </row>
    <row r="861" spans="1:9" x14ac:dyDescent="0.25">
      <c r="A861" t="s">
        <v>1135</v>
      </c>
      <c r="B861" t="s">
        <v>1133</v>
      </c>
      <c r="C861" s="2" t="str">
        <f t="shared" si="16"/>
        <v>septembre</v>
      </c>
      <c r="D861" t="s">
        <v>69</v>
      </c>
      <c r="E861" t="s">
        <v>1585</v>
      </c>
      <c r="F861">
        <v>5</v>
      </c>
      <c r="G861" t="s">
        <v>39</v>
      </c>
      <c r="H861">
        <v>5.79</v>
      </c>
      <c r="I861">
        <f>Table1[[#This Row],[Quantité corrigé]]*Table1[[#This Row],[Prix_Unitaire_HT]]</f>
        <v>28.95</v>
      </c>
    </row>
    <row r="862" spans="1:9" x14ac:dyDescent="0.25">
      <c r="A862" t="s">
        <v>1136</v>
      </c>
      <c r="B862" t="s">
        <v>1133</v>
      </c>
      <c r="C862" s="2" t="str">
        <f t="shared" si="16"/>
        <v>septembre</v>
      </c>
      <c r="D862" t="s">
        <v>69</v>
      </c>
      <c r="E862" t="s">
        <v>1586</v>
      </c>
      <c r="F862">
        <v>8</v>
      </c>
      <c r="G862" t="s">
        <v>43</v>
      </c>
      <c r="H862">
        <v>3.97</v>
      </c>
      <c r="I862">
        <f>Table1[[#This Row],[Quantité corrigé]]*Table1[[#This Row],[Prix_Unitaire_HT]]</f>
        <v>31.76</v>
      </c>
    </row>
    <row r="863" spans="1:9" x14ac:dyDescent="0.25">
      <c r="A863" t="s">
        <v>1137</v>
      </c>
      <c r="B863" t="s">
        <v>1138</v>
      </c>
      <c r="C863" s="2" t="str">
        <f t="shared" si="16"/>
        <v>septembre</v>
      </c>
      <c r="D863" t="s">
        <v>19</v>
      </c>
      <c r="E863" t="s">
        <v>1580</v>
      </c>
      <c r="F863">
        <v>4</v>
      </c>
      <c r="G863" t="s">
        <v>21</v>
      </c>
      <c r="H863">
        <v>4.2699999999999996</v>
      </c>
      <c r="I863">
        <f>Table1[[#This Row],[Quantité corrigé]]*Table1[[#This Row],[Prix_Unitaire_HT]]</f>
        <v>17.079999999999998</v>
      </c>
    </row>
    <row r="864" spans="1:9" x14ac:dyDescent="0.25">
      <c r="A864" t="s">
        <v>1139</v>
      </c>
      <c r="B864" t="s">
        <v>1138</v>
      </c>
      <c r="C864" s="2" t="str">
        <f t="shared" si="16"/>
        <v>septembre</v>
      </c>
      <c r="D864" t="s">
        <v>19</v>
      </c>
      <c r="E864" t="s">
        <v>1581</v>
      </c>
      <c r="F864">
        <v>6</v>
      </c>
      <c r="G864" t="s">
        <v>25</v>
      </c>
      <c r="H864">
        <v>22.32</v>
      </c>
      <c r="I864">
        <f>Table1[[#This Row],[Quantité corrigé]]*Table1[[#This Row],[Prix_Unitaire_HT]]</f>
        <v>133.92000000000002</v>
      </c>
    </row>
    <row r="865" spans="1:9" x14ac:dyDescent="0.25">
      <c r="A865" t="s">
        <v>1140</v>
      </c>
      <c r="B865" t="s">
        <v>1138</v>
      </c>
      <c r="C865" s="2" t="str">
        <f t="shared" si="16"/>
        <v>septembre</v>
      </c>
      <c r="D865" t="s">
        <v>19</v>
      </c>
      <c r="E865" t="s">
        <v>1582</v>
      </c>
      <c r="F865">
        <v>10</v>
      </c>
      <c r="G865" t="s">
        <v>29</v>
      </c>
      <c r="H865">
        <v>9.77</v>
      </c>
      <c r="I865">
        <f>Table1[[#This Row],[Quantité corrigé]]*Table1[[#This Row],[Prix_Unitaire_HT]]</f>
        <v>97.699999999999989</v>
      </c>
    </row>
    <row r="866" spans="1:9" x14ac:dyDescent="0.25">
      <c r="A866" t="s">
        <v>1141</v>
      </c>
      <c r="B866" t="s">
        <v>1138</v>
      </c>
      <c r="C866" s="2" t="str">
        <f t="shared" si="16"/>
        <v>septembre</v>
      </c>
      <c r="D866" t="s">
        <v>50</v>
      </c>
      <c r="E866" t="s">
        <v>1587</v>
      </c>
      <c r="F866">
        <v>2</v>
      </c>
      <c r="G866" t="s">
        <v>52</v>
      </c>
      <c r="H866">
        <v>18.670000000000002</v>
      </c>
      <c r="I866">
        <f>Table1[[#This Row],[Quantité corrigé]]*Table1[[#This Row],[Prix_Unitaire_HT]]</f>
        <v>37.340000000000003</v>
      </c>
    </row>
    <row r="867" spans="1:9" x14ac:dyDescent="0.25">
      <c r="A867" t="s">
        <v>1142</v>
      </c>
      <c r="B867" t="s">
        <v>1138</v>
      </c>
      <c r="C867" s="2" t="str">
        <f t="shared" si="16"/>
        <v>septembre</v>
      </c>
      <c r="D867" t="s">
        <v>195</v>
      </c>
      <c r="E867" t="s">
        <v>1588</v>
      </c>
      <c r="F867">
        <v>10</v>
      </c>
      <c r="G867" t="s">
        <v>17</v>
      </c>
      <c r="H867">
        <v>8.84</v>
      </c>
      <c r="I867">
        <f>Table1[[#This Row],[Quantité corrigé]]*Table1[[#This Row],[Prix_Unitaire_HT]]</f>
        <v>88.4</v>
      </c>
    </row>
    <row r="868" spans="1:9" x14ac:dyDescent="0.25">
      <c r="A868" t="s">
        <v>1143</v>
      </c>
      <c r="B868" t="s">
        <v>1144</v>
      </c>
      <c r="C868" s="2" t="str">
        <f t="shared" si="16"/>
        <v>septembre</v>
      </c>
      <c r="D868" t="s">
        <v>61</v>
      </c>
      <c r="E868" t="s">
        <v>1577</v>
      </c>
      <c r="F868">
        <v>3</v>
      </c>
      <c r="G868" t="s">
        <v>11</v>
      </c>
      <c r="H868">
        <v>15.05</v>
      </c>
      <c r="I868">
        <f>Table1[[#This Row],[Quantité corrigé]]*Table1[[#This Row],[Prix_Unitaire_HT]]</f>
        <v>45.150000000000006</v>
      </c>
    </row>
    <row r="869" spans="1:9" x14ac:dyDescent="0.25">
      <c r="A869" t="s">
        <v>1145</v>
      </c>
      <c r="B869" t="s">
        <v>1144</v>
      </c>
      <c r="C869" s="2" t="str">
        <f t="shared" si="16"/>
        <v>septembre</v>
      </c>
      <c r="D869" t="s">
        <v>61</v>
      </c>
      <c r="E869" t="s">
        <v>1578</v>
      </c>
      <c r="F869">
        <v>3</v>
      </c>
      <c r="G869" t="s">
        <v>11</v>
      </c>
      <c r="H869">
        <v>13.73</v>
      </c>
      <c r="I869">
        <f>Table1[[#This Row],[Quantité corrigé]]*Table1[[#This Row],[Prix_Unitaire_HT]]</f>
        <v>41.19</v>
      </c>
    </row>
    <row r="870" spans="1:9" x14ac:dyDescent="0.25">
      <c r="A870" t="s">
        <v>1146</v>
      </c>
      <c r="B870" t="s">
        <v>1144</v>
      </c>
      <c r="C870" s="2" t="str">
        <f t="shared" si="16"/>
        <v>septembre</v>
      </c>
      <c r="D870" t="s">
        <v>61</v>
      </c>
      <c r="E870" t="s">
        <v>1579</v>
      </c>
      <c r="F870">
        <v>5</v>
      </c>
      <c r="G870" t="s">
        <v>17</v>
      </c>
      <c r="H870">
        <v>1.23</v>
      </c>
      <c r="I870">
        <f>Table1[[#This Row],[Quantité corrigé]]*Table1[[#This Row],[Prix_Unitaire_HT]]</f>
        <v>6.15</v>
      </c>
    </row>
    <row r="871" spans="1:9" x14ac:dyDescent="0.25">
      <c r="A871" t="s">
        <v>1147</v>
      </c>
      <c r="B871" t="s">
        <v>1148</v>
      </c>
      <c r="C871" s="2" t="str">
        <f t="shared" si="16"/>
        <v>septembre</v>
      </c>
      <c r="D871" t="s">
        <v>66</v>
      </c>
      <c r="E871" t="s">
        <v>1583</v>
      </c>
      <c r="F871">
        <v>5</v>
      </c>
      <c r="G871" t="s">
        <v>17</v>
      </c>
      <c r="H871">
        <v>8.9600000000000009</v>
      </c>
      <c r="I871">
        <f>Table1[[#This Row],[Quantité corrigé]]*Table1[[#This Row],[Prix_Unitaire_HT]]</f>
        <v>44.800000000000004</v>
      </c>
    </row>
    <row r="872" spans="1:9" x14ac:dyDescent="0.25">
      <c r="A872" t="s">
        <v>1149</v>
      </c>
      <c r="B872" t="s">
        <v>1148</v>
      </c>
      <c r="C872" s="2" t="str">
        <f t="shared" si="16"/>
        <v>septembre</v>
      </c>
      <c r="D872" t="s">
        <v>66</v>
      </c>
      <c r="E872" t="s">
        <v>1584</v>
      </c>
      <c r="F872">
        <v>8</v>
      </c>
      <c r="G872" t="s">
        <v>17</v>
      </c>
      <c r="H872">
        <v>7.63</v>
      </c>
      <c r="I872">
        <f>Table1[[#This Row],[Quantité corrigé]]*Table1[[#This Row],[Prix_Unitaire_HT]]</f>
        <v>61.04</v>
      </c>
    </row>
    <row r="873" spans="1:9" x14ac:dyDescent="0.25">
      <c r="A873" t="s">
        <v>1150</v>
      </c>
      <c r="B873" t="s">
        <v>1148</v>
      </c>
      <c r="C873" s="2" t="str">
        <f t="shared" si="16"/>
        <v>septembre</v>
      </c>
      <c r="D873" t="s">
        <v>69</v>
      </c>
      <c r="E873" t="s">
        <v>1585</v>
      </c>
      <c r="F873">
        <v>5</v>
      </c>
      <c r="G873" t="s">
        <v>39</v>
      </c>
      <c r="H873">
        <v>5.83</v>
      </c>
      <c r="I873">
        <f>Table1[[#This Row],[Quantité corrigé]]*Table1[[#This Row],[Prix_Unitaire_HT]]</f>
        <v>29.15</v>
      </c>
    </row>
    <row r="874" spans="1:9" x14ac:dyDescent="0.25">
      <c r="A874" t="s">
        <v>1151</v>
      </c>
      <c r="B874" t="s">
        <v>1148</v>
      </c>
      <c r="C874" s="2" t="str">
        <f t="shared" si="16"/>
        <v>septembre</v>
      </c>
      <c r="D874" t="s">
        <v>69</v>
      </c>
      <c r="E874" t="s">
        <v>1586</v>
      </c>
      <c r="F874">
        <v>8</v>
      </c>
      <c r="G874" t="s">
        <v>43</v>
      </c>
      <c r="H874">
        <v>3.82</v>
      </c>
      <c r="I874">
        <f>Table1[[#This Row],[Quantité corrigé]]*Table1[[#This Row],[Prix_Unitaire_HT]]</f>
        <v>30.56</v>
      </c>
    </row>
    <row r="875" spans="1:9" x14ac:dyDescent="0.25">
      <c r="A875" t="s">
        <v>1152</v>
      </c>
      <c r="B875" t="s">
        <v>1153</v>
      </c>
      <c r="C875" s="2" t="str">
        <f t="shared" si="16"/>
        <v>septembre</v>
      </c>
      <c r="D875" t="s">
        <v>195</v>
      </c>
      <c r="E875" t="s">
        <v>1588</v>
      </c>
      <c r="F875">
        <v>10</v>
      </c>
      <c r="G875" t="s">
        <v>17</v>
      </c>
      <c r="H875">
        <v>8.83</v>
      </c>
      <c r="I875">
        <f>Table1[[#This Row],[Quantité corrigé]]*Table1[[#This Row],[Prix_Unitaire_HT]]</f>
        <v>88.3</v>
      </c>
    </row>
    <row r="876" spans="1:9" x14ac:dyDescent="0.25">
      <c r="A876" t="s">
        <v>1154</v>
      </c>
      <c r="B876" t="s">
        <v>1155</v>
      </c>
      <c r="C876" s="2" t="str">
        <f t="shared" si="16"/>
        <v>septembre</v>
      </c>
      <c r="D876" t="s">
        <v>61</v>
      </c>
      <c r="E876" t="s">
        <v>1577</v>
      </c>
      <c r="F876">
        <v>3</v>
      </c>
      <c r="G876" t="s">
        <v>11</v>
      </c>
      <c r="H876">
        <v>14.45</v>
      </c>
      <c r="I876">
        <f>Table1[[#This Row],[Quantité corrigé]]*Table1[[#This Row],[Prix_Unitaire_HT]]</f>
        <v>43.349999999999994</v>
      </c>
    </row>
    <row r="877" spans="1:9" x14ac:dyDescent="0.25">
      <c r="A877" t="s">
        <v>1156</v>
      </c>
      <c r="B877" t="s">
        <v>1155</v>
      </c>
      <c r="C877" s="2" t="str">
        <f t="shared" si="16"/>
        <v>septembre</v>
      </c>
      <c r="D877" t="s">
        <v>61</v>
      </c>
      <c r="E877" t="s">
        <v>1578</v>
      </c>
      <c r="F877">
        <v>6</v>
      </c>
      <c r="G877" t="s">
        <v>11</v>
      </c>
      <c r="H877">
        <v>13.28</v>
      </c>
      <c r="I877">
        <f>Table1[[#This Row],[Quantité corrigé]]*Table1[[#This Row],[Prix_Unitaire_HT]]</f>
        <v>79.679999999999993</v>
      </c>
    </row>
    <row r="878" spans="1:9" x14ac:dyDescent="0.25">
      <c r="A878" t="s">
        <v>1157</v>
      </c>
      <c r="B878" t="s">
        <v>1155</v>
      </c>
      <c r="C878" s="2" t="str">
        <f t="shared" si="16"/>
        <v>septembre</v>
      </c>
      <c r="D878" t="s">
        <v>61</v>
      </c>
      <c r="E878" t="s">
        <v>1579</v>
      </c>
      <c r="F878">
        <v>6</v>
      </c>
      <c r="G878" t="s">
        <v>17</v>
      </c>
      <c r="H878">
        <v>1.25</v>
      </c>
      <c r="I878">
        <f>Table1[[#This Row],[Quantité corrigé]]*Table1[[#This Row],[Prix_Unitaire_HT]]</f>
        <v>7.5</v>
      </c>
    </row>
    <row r="879" spans="1:9" x14ac:dyDescent="0.25">
      <c r="A879" t="s">
        <v>1158</v>
      </c>
      <c r="B879" t="s">
        <v>1155</v>
      </c>
      <c r="C879" s="2" t="str">
        <f t="shared" si="16"/>
        <v>septembre</v>
      </c>
      <c r="D879" t="s">
        <v>19</v>
      </c>
      <c r="E879" t="s">
        <v>1580</v>
      </c>
      <c r="F879">
        <v>4</v>
      </c>
      <c r="G879" t="s">
        <v>21</v>
      </c>
      <c r="H879">
        <v>4.05</v>
      </c>
      <c r="I879">
        <f>Table1[[#This Row],[Quantité corrigé]]*Table1[[#This Row],[Prix_Unitaire_HT]]</f>
        <v>16.2</v>
      </c>
    </row>
    <row r="880" spans="1:9" x14ac:dyDescent="0.25">
      <c r="A880" t="s">
        <v>1159</v>
      </c>
      <c r="B880" t="s">
        <v>1155</v>
      </c>
      <c r="C880" s="2" t="str">
        <f t="shared" si="16"/>
        <v>septembre</v>
      </c>
      <c r="D880" t="s">
        <v>19</v>
      </c>
      <c r="E880" t="s">
        <v>1581</v>
      </c>
      <c r="F880">
        <v>10</v>
      </c>
      <c r="G880" t="s">
        <v>25</v>
      </c>
      <c r="H880">
        <v>21.2</v>
      </c>
      <c r="I880">
        <f>Table1[[#This Row],[Quantité corrigé]]*Table1[[#This Row],[Prix_Unitaire_HT]]</f>
        <v>212</v>
      </c>
    </row>
    <row r="881" spans="1:9" x14ac:dyDescent="0.25">
      <c r="A881" t="s">
        <v>1160</v>
      </c>
      <c r="B881" t="s">
        <v>1155</v>
      </c>
      <c r="C881" s="2" t="str">
        <f t="shared" si="16"/>
        <v>septembre</v>
      </c>
      <c r="D881" t="s">
        <v>19</v>
      </c>
      <c r="E881" t="s">
        <v>1582</v>
      </c>
      <c r="F881">
        <v>10</v>
      </c>
      <c r="G881" t="s">
        <v>29</v>
      </c>
      <c r="H881">
        <v>9.5399999999999991</v>
      </c>
      <c r="I881">
        <f>Table1[[#This Row],[Quantité corrigé]]*Table1[[#This Row],[Prix_Unitaire_HT]]</f>
        <v>95.399999999999991</v>
      </c>
    </row>
    <row r="882" spans="1:9" x14ac:dyDescent="0.25">
      <c r="A882" t="s">
        <v>1161</v>
      </c>
      <c r="B882" t="s">
        <v>1162</v>
      </c>
      <c r="C882" s="2" t="str">
        <f t="shared" si="16"/>
        <v>septembre</v>
      </c>
      <c r="D882" t="s">
        <v>66</v>
      </c>
      <c r="E882" t="s">
        <v>1583</v>
      </c>
      <c r="F882">
        <v>6</v>
      </c>
      <c r="G882" t="s">
        <v>17</v>
      </c>
      <c r="H882">
        <v>10.33</v>
      </c>
      <c r="I882">
        <f>Table1[[#This Row],[Quantité corrigé]]*Table1[[#This Row],[Prix_Unitaire_HT]]</f>
        <v>61.980000000000004</v>
      </c>
    </row>
    <row r="883" spans="1:9" x14ac:dyDescent="0.25">
      <c r="A883" t="s">
        <v>1163</v>
      </c>
      <c r="B883" t="s">
        <v>1162</v>
      </c>
      <c r="C883" s="2" t="str">
        <f t="shared" si="16"/>
        <v>septembre</v>
      </c>
      <c r="D883" t="s">
        <v>66</v>
      </c>
      <c r="E883" t="s">
        <v>1584</v>
      </c>
      <c r="F883">
        <v>10</v>
      </c>
      <c r="G883" t="s">
        <v>17</v>
      </c>
      <c r="H883">
        <v>6.75</v>
      </c>
      <c r="I883">
        <f>Table1[[#This Row],[Quantité corrigé]]*Table1[[#This Row],[Prix_Unitaire_HT]]</f>
        <v>67.5</v>
      </c>
    </row>
    <row r="884" spans="1:9" x14ac:dyDescent="0.25">
      <c r="A884" t="s">
        <v>1164</v>
      </c>
      <c r="B884" t="s">
        <v>1162</v>
      </c>
      <c r="C884" s="2" t="str">
        <f t="shared" si="16"/>
        <v>septembre</v>
      </c>
      <c r="D884" t="s">
        <v>69</v>
      </c>
      <c r="E884" t="s">
        <v>1585</v>
      </c>
      <c r="F884">
        <v>12</v>
      </c>
      <c r="G884" t="s">
        <v>39</v>
      </c>
      <c r="H884">
        <v>5.78</v>
      </c>
      <c r="I884">
        <f>Table1[[#This Row],[Quantité corrigé]]*Table1[[#This Row],[Prix_Unitaire_HT]]</f>
        <v>69.36</v>
      </c>
    </row>
    <row r="885" spans="1:9" x14ac:dyDescent="0.25">
      <c r="A885" t="s">
        <v>1165</v>
      </c>
      <c r="B885" t="s">
        <v>1162</v>
      </c>
      <c r="C885" s="2" t="str">
        <f t="shared" si="16"/>
        <v>septembre</v>
      </c>
      <c r="D885" t="s">
        <v>69</v>
      </c>
      <c r="E885" t="s">
        <v>1586</v>
      </c>
      <c r="F885">
        <v>10</v>
      </c>
      <c r="G885" t="s">
        <v>43</v>
      </c>
      <c r="H885">
        <v>4.05</v>
      </c>
      <c r="I885">
        <f>Table1[[#This Row],[Quantité corrigé]]*Table1[[#This Row],[Prix_Unitaire_HT]]</f>
        <v>40.5</v>
      </c>
    </row>
    <row r="886" spans="1:9" x14ac:dyDescent="0.25">
      <c r="A886" t="s">
        <v>1166</v>
      </c>
      <c r="B886" t="s">
        <v>1167</v>
      </c>
      <c r="C886" s="2" t="str">
        <f t="shared" si="16"/>
        <v>septembre</v>
      </c>
      <c r="D886" t="s">
        <v>19</v>
      </c>
      <c r="E886" t="s">
        <v>1580</v>
      </c>
      <c r="F886">
        <v>6</v>
      </c>
      <c r="G886" t="s">
        <v>21</v>
      </c>
      <c r="H886">
        <v>4.2300000000000004</v>
      </c>
      <c r="I886">
        <f>Table1[[#This Row],[Quantité corrigé]]*Table1[[#This Row],[Prix_Unitaire_HT]]</f>
        <v>25.380000000000003</v>
      </c>
    </row>
    <row r="887" spans="1:9" x14ac:dyDescent="0.25">
      <c r="A887" t="s">
        <v>1168</v>
      </c>
      <c r="B887" t="s">
        <v>1167</v>
      </c>
      <c r="C887" s="2" t="str">
        <f t="shared" si="16"/>
        <v>septembre</v>
      </c>
      <c r="D887" t="s">
        <v>19</v>
      </c>
      <c r="E887" t="s">
        <v>1581</v>
      </c>
      <c r="F887">
        <v>6</v>
      </c>
      <c r="G887" t="s">
        <v>25</v>
      </c>
      <c r="H887">
        <v>21.33</v>
      </c>
      <c r="I887">
        <f>Table1[[#This Row],[Quantité corrigé]]*Table1[[#This Row],[Prix_Unitaire_HT]]</f>
        <v>127.97999999999999</v>
      </c>
    </row>
    <row r="888" spans="1:9" x14ac:dyDescent="0.25">
      <c r="A888" t="s">
        <v>1169</v>
      </c>
      <c r="B888" t="s">
        <v>1167</v>
      </c>
      <c r="C888" s="2" t="str">
        <f t="shared" si="16"/>
        <v>septembre</v>
      </c>
      <c r="D888" t="s">
        <v>19</v>
      </c>
      <c r="E888" t="s">
        <v>1582</v>
      </c>
      <c r="F888">
        <v>10</v>
      </c>
      <c r="G888" t="s">
        <v>29</v>
      </c>
      <c r="H888">
        <v>9.9499999999999993</v>
      </c>
      <c r="I888">
        <f>Table1[[#This Row],[Quantité corrigé]]*Table1[[#This Row],[Prix_Unitaire_HT]]</f>
        <v>99.5</v>
      </c>
    </row>
    <row r="889" spans="1:9" x14ac:dyDescent="0.25">
      <c r="A889" t="s">
        <v>1170</v>
      </c>
      <c r="B889" t="s">
        <v>1167</v>
      </c>
      <c r="C889" s="2" t="str">
        <f t="shared" si="16"/>
        <v>septembre</v>
      </c>
      <c r="D889" t="s">
        <v>50</v>
      </c>
      <c r="E889" t="s">
        <v>1587</v>
      </c>
      <c r="F889">
        <v>3</v>
      </c>
      <c r="G889" t="s">
        <v>52</v>
      </c>
      <c r="H889">
        <v>17.88</v>
      </c>
      <c r="I889">
        <f>Table1[[#This Row],[Quantité corrigé]]*Table1[[#This Row],[Prix_Unitaire_HT]]</f>
        <v>53.64</v>
      </c>
    </row>
    <row r="890" spans="1:9" x14ac:dyDescent="0.25">
      <c r="A890" t="s">
        <v>1171</v>
      </c>
      <c r="B890" t="s">
        <v>1167</v>
      </c>
      <c r="C890" s="2" t="str">
        <f t="shared" si="16"/>
        <v>septembre</v>
      </c>
      <c r="D890" t="s">
        <v>195</v>
      </c>
      <c r="E890" t="s">
        <v>1588</v>
      </c>
      <c r="F890">
        <v>4</v>
      </c>
      <c r="G890" t="s">
        <v>17</v>
      </c>
      <c r="H890">
        <v>9.75</v>
      </c>
      <c r="I890">
        <f>Table1[[#This Row],[Quantité corrigé]]*Table1[[#This Row],[Prix_Unitaire_HT]]</f>
        <v>39</v>
      </c>
    </row>
    <row r="891" spans="1:9" x14ac:dyDescent="0.25">
      <c r="A891" t="s">
        <v>1172</v>
      </c>
      <c r="B891" t="s">
        <v>1173</v>
      </c>
      <c r="C891" s="2" t="str">
        <f t="shared" si="16"/>
        <v>septembre</v>
      </c>
      <c r="D891" t="s">
        <v>61</v>
      </c>
      <c r="E891" t="s">
        <v>1577</v>
      </c>
      <c r="F891">
        <v>6</v>
      </c>
      <c r="G891" t="s">
        <v>11</v>
      </c>
      <c r="H891">
        <v>14.49</v>
      </c>
      <c r="I891">
        <f>Table1[[#This Row],[Quantité corrigé]]*Table1[[#This Row],[Prix_Unitaire_HT]]</f>
        <v>86.94</v>
      </c>
    </row>
    <row r="892" spans="1:9" x14ac:dyDescent="0.25">
      <c r="A892" t="s">
        <v>1174</v>
      </c>
      <c r="B892" t="s">
        <v>1173</v>
      </c>
      <c r="C892" s="2" t="str">
        <f t="shared" si="16"/>
        <v>septembre</v>
      </c>
      <c r="D892" t="s">
        <v>61</v>
      </c>
      <c r="E892" t="s">
        <v>1578</v>
      </c>
      <c r="F892">
        <v>6</v>
      </c>
      <c r="G892" t="s">
        <v>11</v>
      </c>
      <c r="H892">
        <v>13.76</v>
      </c>
      <c r="I892">
        <f>Table1[[#This Row],[Quantité corrigé]]*Table1[[#This Row],[Prix_Unitaire_HT]]</f>
        <v>82.56</v>
      </c>
    </row>
    <row r="893" spans="1:9" x14ac:dyDescent="0.25">
      <c r="A893" t="s">
        <v>1175</v>
      </c>
      <c r="B893" t="s">
        <v>1173</v>
      </c>
      <c r="C893" s="2" t="str">
        <f t="shared" si="16"/>
        <v>septembre</v>
      </c>
      <c r="D893" t="s">
        <v>61</v>
      </c>
      <c r="E893" t="s">
        <v>1579</v>
      </c>
      <c r="F893">
        <v>6</v>
      </c>
      <c r="G893" t="s">
        <v>17</v>
      </c>
      <c r="H893">
        <v>1.2</v>
      </c>
      <c r="I893">
        <f>Table1[[#This Row],[Quantité corrigé]]*Table1[[#This Row],[Prix_Unitaire_HT]]</f>
        <v>7.1999999999999993</v>
      </c>
    </row>
    <row r="894" spans="1:9" x14ac:dyDescent="0.25">
      <c r="A894" t="s">
        <v>1176</v>
      </c>
      <c r="B894" t="s">
        <v>1177</v>
      </c>
      <c r="C894" s="2" t="str">
        <f t="shared" si="16"/>
        <v>septembre</v>
      </c>
      <c r="D894" t="s">
        <v>66</v>
      </c>
      <c r="E894" t="s">
        <v>1583</v>
      </c>
      <c r="F894">
        <v>6</v>
      </c>
      <c r="G894" t="s">
        <v>17</v>
      </c>
      <c r="H894">
        <v>8.59</v>
      </c>
      <c r="I894">
        <f>Table1[[#This Row],[Quantité corrigé]]*Table1[[#This Row],[Prix_Unitaire_HT]]</f>
        <v>51.54</v>
      </c>
    </row>
    <row r="895" spans="1:9" x14ac:dyDescent="0.25">
      <c r="A895" t="s">
        <v>1178</v>
      </c>
      <c r="B895" t="s">
        <v>1177</v>
      </c>
      <c r="C895" s="2" t="str">
        <f t="shared" si="16"/>
        <v>septembre</v>
      </c>
      <c r="D895" t="s">
        <v>66</v>
      </c>
      <c r="E895" t="s">
        <v>1584</v>
      </c>
      <c r="F895">
        <v>12</v>
      </c>
      <c r="G895" t="s">
        <v>17</v>
      </c>
      <c r="H895">
        <v>7.58</v>
      </c>
      <c r="I895">
        <f>Table1[[#This Row],[Quantité corrigé]]*Table1[[#This Row],[Prix_Unitaire_HT]]</f>
        <v>90.960000000000008</v>
      </c>
    </row>
    <row r="896" spans="1:9" x14ac:dyDescent="0.25">
      <c r="A896" t="s">
        <v>1179</v>
      </c>
      <c r="B896" t="s">
        <v>1177</v>
      </c>
      <c r="C896" s="2" t="str">
        <f t="shared" si="16"/>
        <v>septembre</v>
      </c>
      <c r="D896" t="s">
        <v>69</v>
      </c>
      <c r="E896" t="s">
        <v>1585</v>
      </c>
      <c r="F896">
        <v>8</v>
      </c>
      <c r="G896" t="s">
        <v>39</v>
      </c>
      <c r="H896">
        <v>5.99</v>
      </c>
      <c r="I896">
        <f>Table1[[#This Row],[Quantité corrigé]]*Table1[[#This Row],[Prix_Unitaire_HT]]</f>
        <v>47.92</v>
      </c>
    </row>
    <row r="897" spans="1:9" x14ac:dyDescent="0.25">
      <c r="A897" t="s">
        <v>1180</v>
      </c>
      <c r="B897" t="s">
        <v>1177</v>
      </c>
      <c r="C897" s="2" t="str">
        <f t="shared" si="16"/>
        <v>septembre</v>
      </c>
      <c r="D897" t="s">
        <v>69</v>
      </c>
      <c r="E897" t="s">
        <v>1586</v>
      </c>
      <c r="F897">
        <v>10</v>
      </c>
      <c r="G897" t="s">
        <v>43</v>
      </c>
      <c r="H897">
        <v>4.04</v>
      </c>
      <c r="I897">
        <f>Table1[[#This Row],[Quantité corrigé]]*Table1[[#This Row],[Prix_Unitaire_HT]]</f>
        <v>40.4</v>
      </c>
    </row>
    <row r="898" spans="1:9" x14ac:dyDescent="0.25">
      <c r="A898" t="s">
        <v>1181</v>
      </c>
      <c r="B898" t="s">
        <v>1182</v>
      </c>
      <c r="C898" s="2" t="str">
        <f t="shared" ref="C898:C961" si="17">TEXT(DATE(2024,MID(B898,4,2),_xlfn.TEXTBEFORE(B898,"/",1)),"mmmm")</f>
        <v>septembre</v>
      </c>
      <c r="D898" t="s">
        <v>195</v>
      </c>
      <c r="E898" t="s">
        <v>1588</v>
      </c>
      <c r="F898">
        <v>8</v>
      </c>
      <c r="G898" t="s">
        <v>17</v>
      </c>
      <c r="H898">
        <v>9.57</v>
      </c>
      <c r="I898">
        <f>Table1[[#This Row],[Quantité corrigé]]*Table1[[#This Row],[Prix_Unitaire_HT]]</f>
        <v>76.56</v>
      </c>
    </row>
    <row r="899" spans="1:9" x14ac:dyDescent="0.25">
      <c r="A899" t="s">
        <v>1183</v>
      </c>
      <c r="B899" t="s">
        <v>1184</v>
      </c>
      <c r="C899" s="2" t="str">
        <f t="shared" si="17"/>
        <v>septembre</v>
      </c>
      <c r="D899" t="s">
        <v>61</v>
      </c>
      <c r="E899" t="s">
        <v>1577</v>
      </c>
      <c r="F899">
        <v>6</v>
      </c>
      <c r="G899" t="s">
        <v>11</v>
      </c>
      <c r="H899">
        <v>14.9</v>
      </c>
      <c r="I899">
        <f>Table1[[#This Row],[Quantité corrigé]]*Table1[[#This Row],[Prix_Unitaire_HT]]</f>
        <v>89.4</v>
      </c>
    </row>
    <row r="900" spans="1:9" x14ac:dyDescent="0.25">
      <c r="A900" t="s">
        <v>1185</v>
      </c>
      <c r="B900" t="s">
        <v>1184</v>
      </c>
      <c r="C900" s="2" t="str">
        <f t="shared" si="17"/>
        <v>septembre</v>
      </c>
      <c r="D900" t="s">
        <v>61</v>
      </c>
      <c r="E900" t="s">
        <v>1578</v>
      </c>
      <c r="F900">
        <v>3</v>
      </c>
      <c r="G900" t="s">
        <v>11</v>
      </c>
      <c r="H900">
        <v>12.92</v>
      </c>
      <c r="I900">
        <f>Table1[[#This Row],[Quantité corrigé]]*Table1[[#This Row],[Prix_Unitaire_HT]]</f>
        <v>38.76</v>
      </c>
    </row>
    <row r="901" spans="1:9" x14ac:dyDescent="0.25">
      <c r="A901" t="s">
        <v>1186</v>
      </c>
      <c r="B901" t="s">
        <v>1184</v>
      </c>
      <c r="C901" s="2" t="str">
        <f t="shared" si="17"/>
        <v>septembre</v>
      </c>
      <c r="D901" t="s">
        <v>61</v>
      </c>
      <c r="E901" t="s">
        <v>1579</v>
      </c>
      <c r="F901">
        <v>5</v>
      </c>
      <c r="G901" t="s">
        <v>17</v>
      </c>
      <c r="H901">
        <v>1.2</v>
      </c>
      <c r="I901">
        <f>Table1[[#This Row],[Quantité corrigé]]*Table1[[#This Row],[Prix_Unitaire_HT]]</f>
        <v>6</v>
      </c>
    </row>
    <row r="902" spans="1:9" x14ac:dyDescent="0.25">
      <c r="A902" t="s">
        <v>1187</v>
      </c>
      <c r="B902" t="s">
        <v>1184</v>
      </c>
      <c r="C902" s="2" t="str">
        <f t="shared" si="17"/>
        <v>septembre</v>
      </c>
      <c r="D902" t="s">
        <v>19</v>
      </c>
      <c r="E902" t="s">
        <v>1580</v>
      </c>
      <c r="F902">
        <v>8</v>
      </c>
      <c r="G902" t="s">
        <v>21</v>
      </c>
      <c r="H902">
        <v>4.29</v>
      </c>
      <c r="I902">
        <f>Table1[[#This Row],[Quantité corrigé]]*Table1[[#This Row],[Prix_Unitaire_HT]]</f>
        <v>34.32</v>
      </c>
    </row>
    <row r="903" spans="1:9" x14ac:dyDescent="0.25">
      <c r="A903" t="s">
        <v>1188</v>
      </c>
      <c r="B903" t="s">
        <v>1184</v>
      </c>
      <c r="C903" s="2" t="str">
        <f t="shared" si="17"/>
        <v>septembre</v>
      </c>
      <c r="D903" t="s">
        <v>19</v>
      </c>
      <c r="E903" t="s">
        <v>1581</v>
      </c>
      <c r="F903">
        <v>10</v>
      </c>
      <c r="G903" t="s">
        <v>25</v>
      </c>
      <c r="H903">
        <v>23.47</v>
      </c>
      <c r="I903">
        <f>Table1[[#This Row],[Quantité corrigé]]*Table1[[#This Row],[Prix_Unitaire_HT]]</f>
        <v>234.7</v>
      </c>
    </row>
    <row r="904" spans="1:9" x14ac:dyDescent="0.25">
      <c r="A904" t="s">
        <v>1189</v>
      </c>
      <c r="B904" t="s">
        <v>1184</v>
      </c>
      <c r="C904" s="2" t="str">
        <f t="shared" si="17"/>
        <v>septembre</v>
      </c>
      <c r="D904" t="s">
        <v>19</v>
      </c>
      <c r="E904" t="s">
        <v>1582</v>
      </c>
      <c r="F904">
        <v>6</v>
      </c>
      <c r="G904" t="s">
        <v>29</v>
      </c>
      <c r="H904">
        <v>9.4499999999999993</v>
      </c>
      <c r="I904">
        <f>Table1[[#This Row],[Quantité corrigé]]*Table1[[#This Row],[Prix_Unitaire_HT]]</f>
        <v>56.699999999999996</v>
      </c>
    </row>
    <row r="905" spans="1:9" x14ac:dyDescent="0.25">
      <c r="A905" t="s">
        <v>1190</v>
      </c>
      <c r="B905" t="s">
        <v>1191</v>
      </c>
      <c r="C905" s="2" t="str">
        <f t="shared" si="17"/>
        <v>octobre</v>
      </c>
      <c r="D905" t="s">
        <v>66</v>
      </c>
      <c r="E905" t="s">
        <v>1583</v>
      </c>
      <c r="F905">
        <v>6</v>
      </c>
      <c r="G905" t="s">
        <v>17</v>
      </c>
      <c r="H905">
        <v>8.85</v>
      </c>
      <c r="I905">
        <f>Table1[[#This Row],[Quantité corrigé]]*Table1[[#This Row],[Prix_Unitaire_HT]]</f>
        <v>53.099999999999994</v>
      </c>
    </row>
    <row r="906" spans="1:9" x14ac:dyDescent="0.25">
      <c r="A906" t="s">
        <v>1192</v>
      </c>
      <c r="B906" t="s">
        <v>1191</v>
      </c>
      <c r="C906" s="2" t="str">
        <f t="shared" si="17"/>
        <v>octobre</v>
      </c>
      <c r="D906" t="s">
        <v>66</v>
      </c>
      <c r="E906" t="s">
        <v>1584</v>
      </c>
      <c r="F906">
        <v>5</v>
      </c>
      <c r="G906" t="s">
        <v>17</v>
      </c>
      <c r="H906">
        <v>7.5</v>
      </c>
      <c r="I906">
        <f>Table1[[#This Row],[Quantité corrigé]]*Table1[[#This Row],[Prix_Unitaire_HT]]</f>
        <v>37.5</v>
      </c>
    </row>
    <row r="907" spans="1:9" x14ac:dyDescent="0.25">
      <c r="A907" t="s">
        <v>1193</v>
      </c>
      <c r="B907" t="s">
        <v>1191</v>
      </c>
      <c r="C907" s="2" t="str">
        <f t="shared" si="17"/>
        <v>octobre</v>
      </c>
      <c r="D907" t="s">
        <v>69</v>
      </c>
      <c r="E907" t="s">
        <v>1585</v>
      </c>
      <c r="F907">
        <v>12</v>
      </c>
      <c r="G907" t="s">
        <v>39</v>
      </c>
      <c r="H907">
        <v>5.95</v>
      </c>
      <c r="I907">
        <f>Table1[[#This Row],[Quantité corrigé]]*Table1[[#This Row],[Prix_Unitaire_HT]]</f>
        <v>71.400000000000006</v>
      </c>
    </row>
    <row r="908" spans="1:9" x14ac:dyDescent="0.25">
      <c r="A908" t="s">
        <v>1194</v>
      </c>
      <c r="B908" t="s">
        <v>1191</v>
      </c>
      <c r="C908" s="2" t="str">
        <f t="shared" si="17"/>
        <v>octobre</v>
      </c>
      <c r="D908" t="s">
        <v>69</v>
      </c>
      <c r="E908" t="s">
        <v>1586</v>
      </c>
      <c r="F908">
        <v>5</v>
      </c>
      <c r="G908" t="s">
        <v>43</v>
      </c>
      <c r="H908">
        <v>4.05</v>
      </c>
      <c r="I908">
        <f>Table1[[#This Row],[Quantité corrigé]]*Table1[[#This Row],[Prix_Unitaire_HT]]</f>
        <v>20.25</v>
      </c>
    </row>
    <row r="909" spans="1:9" x14ac:dyDescent="0.25">
      <c r="A909" t="s">
        <v>1195</v>
      </c>
      <c r="B909" t="s">
        <v>1196</v>
      </c>
      <c r="C909" s="2" t="str">
        <f t="shared" si="17"/>
        <v>octobre</v>
      </c>
      <c r="D909" t="s">
        <v>19</v>
      </c>
      <c r="E909" t="s">
        <v>1580</v>
      </c>
      <c r="F909">
        <v>10</v>
      </c>
      <c r="G909" t="s">
        <v>21</v>
      </c>
      <c r="H909">
        <v>4.29</v>
      </c>
      <c r="I909">
        <f>Table1[[#This Row],[Quantité corrigé]]*Table1[[#This Row],[Prix_Unitaire_HT]]</f>
        <v>42.9</v>
      </c>
    </row>
    <row r="910" spans="1:9" x14ac:dyDescent="0.25">
      <c r="A910" t="s">
        <v>1197</v>
      </c>
      <c r="B910" t="s">
        <v>1196</v>
      </c>
      <c r="C910" s="2" t="str">
        <f t="shared" si="17"/>
        <v>octobre</v>
      </c>
      <c r="D910" t="s">
        <v>19</v>
      </c>
      <c r="E910" t="s">
        <v>1581</v>
      </c>
      <c r="F910">
        <v>6</v>
      </c>
      <c r="G910" t="s">
        <v>25</v>
      </c>
      <c r="H910">
        <v>23.54</v>
      </c>
      <c r="I910">
        <f>Table1[[#This Row],[Quantité corrigé]]*Table1[[#This Row],[Prix_Unitaire_HT]]</f>
        <v>141.24</v>
      </c>
    </row>
    <row r="911" spans="1:9" x14ac:dyDescent="0.25">
      <c r="A911" t="s">
        <v>1198</v>
      </c>
      <c r="B911" t="s">
        <v>1196</v>
      </c>
      <c r="C911" s="2" t="str">
        <f t="shared" si="17"/>
        <v>octobre</v>
      </c>
      <c r="D911" t="s">
        <v>19</v>
      </c>
      <c r="E911" t="s">
        <v>1582</v>
      </c>
      <c r="F911">
        <v>6</v>
      </c>
      <c r="G911" t="s">
        <v>29</v>
      </c>
      <c r="H911">
        <v>10.24</v>
      </c>
      <c r="I911">
        <f>Table1[[#This Row],[Quantité corrigé]]*Table1[[#This Row],[Prix_Unitaire_HT]]</f>
        <v>61.44</v>
      </c>
    </row>
    <row r="912" spans="1:9" x14ac:dyDescent="0.25">
      <c r="A912" t="s">
        <v>1199</v>
      </c>
      <c r="B912" t="s">
        <v>1196</v>
      </c>
      <c r="C912" s="2" t="str">
        <f t="shared" si="17"/>
        <v>octobre</v>
      </c>
      <c r="D912" t="s">
        <v>50</v>
      </c>
      <c r="E912" t="s">
        <v>1587</v>
      </c>
      <c r="F912">
        <v>3</v>
      </c>
      <c r="G912" t="s">
        <v>52</v>
      </c>
      <c r="H912">
        <v>18.600000000000001</v>
      </c>
      <c r="I912">
        <f>Table1[[#This Row],[Quantité corrigé]]*Table1[[#This Row],[Prix_Unitaire_HT]]</f>
        <v>55.800000000000004</v>
      </c>
    </row>
    <row r="913" spans="1:9" x14ac:dyDescent="0.25">
      <c r="A913" t="s">
        <v>1200</v>
      </c>
      <c r="B913" t="s">
        <v>1196</v>
      </c>
      <c r="C913" s="2" t="str">
        <f t="shared" si="17"/>
        <v>octobre</v>
      </c>
      <c r="D913" t="s">
        <v>195</v>
      </c>
      <c r="E913" t="s">
        <v>1588</v>
      </c>
      <c r="F913">
        <v>8</v>
      </c>
      <c r="G913" t="s">
        <v>17</v>
      </c>
      <c r="H913">
        <v>8.76</v>
      </c>
      <c r="I913">
        <f>Table1[[#This Row],[Quantité corrigé]]*Table1[[#This Row],[Prix_Unitaire_HT]]</f>
        <v>70.08</v>
      </c>
    </row>
    <row r="914" spans="1:9" x14ac:dyDescent="0.25">
      <c r="A914" t="s">
        <v>1201</v>
      </c>
      <c r="B914" t="s">
        <v>1202</v>
      </c>
      <c r="C914" s="2" t="str">
        <f t="shared" si="17"/>
        <v>octobre</v>
      </c>
      <c r="D914" t="s">
        <v>61</v>
      </c>
      <c r="E914" t="s">
        <v>1577</v>
      </c>
      <c r="F914">
        <v>4</v>
      </c>
      <c r="G914" t="s">
        <v>11</v>
      </c>
      <c r="H914">
        <v>14.15</v>
      </c>
      <c r="I914">
        <f>Table1[[#This Row],[Quantité corrigé]]*Table1[[#This Row],[Prix_Unitaire_HT]]</f>
        <v>56.6</v>
      </c>
    </row>
    <row r="915" spans="1:9" x14ac:dyDescent="0.25">
      <c r="A915" t="s">
        <v>1203</v>
      </c>
      <c r="B915" t="s">
        <v>1202</v>
      </c>
      <c r="C915" s="2" t="str">
        <f t="shared" si="17"/>
        <v>octobre</v>
      </c>
      <c r="D915" t="s">
        <v>61</v>
      </c>
      <c r="E915" t="s">
        <v>1578</v>
      </c>
      <c r="F915">
        <v>5</v>
      </c>
      <c r="G915" t="s">
        <v>11</v>
      </c>
      <c r="H915">
        <v>13.81</v>
      </c>
      <c r="I915">
        <f>Table1[[#This Row],[Quantité corrigé]]*Table1[[#This Row],[Prix_Unitaire_HT]]</f>
        <v>69.05</v>
      </c>
    </row>
    <row r="916" spans="1:9" x14ac:dyDescent="0.25">
      <c r="A916" t="s">
        <v>1204</v>
      </c>
      <c r="B916" t="s">
        <v>1202</v>
      </c>
      <c r="C916" s="2" t="str">
        <f t="shared" si="17"/>
        <v>octobre</v>
      </c>
      <c r="D916" t="s">
        <v>61</v>
      </c>
      <c r="E916" t="s">
        <v>1579</v>
      </c>
      <c r="F916">
        <v>4</v>
      </c>
      <c r="G916" t="s">
        <v>17</v>
      </c>
      <c r="H916">
        <v>1.19</v>
      </c>
      <c r="I916">
        <f>Table1[[#This Row],[Quantité corrigé]]*Table1[[#This Row],[Prix_Unitaire_HT]]</f>
        <v>4.76</v>
      </c>
    </row>
    <row r="917" spans="1:9" x14ac:dyDescent="0.25">
      <c r="A917" t="s">
        <v>1205</v>
      </c>
      <c r="B917" t="s">
        <v>1206</v>
      </c>
      <c r="C917" s="2" t="str">
        <f t="shared" si="17"/>
        <v>octobre</v>
      </c>
      <c r="D917" t="s">
        <v>66</v>
      </c>
      <c r="E917" t="s">
        <v>1583</v>
      </c>
      <c r="F917">
        <v>6</v>
      </c>
      <c r="G917" t="s">
        <v>17</v>
      </c>
      <c r="H917">
        <v>9.93</v>
      </c>
      <c r="I917">
        <f>Table1[[#This Row],[Quantité corrigé]]*Table1[[#This Row],[Prix_Unitaire_HT]]</f>
        <v>59.58</v>
      </c>
    </row>
    <row r="918" spans="1:9" x14ac:dyDescent="0.25">
      <c r="A918" t="s">
        <v>1207</v>
      </c>
      <c r="B918" t="s">
        <v>1206</v>
      </c>
      <c r="C918" s="2" t="str">
        <f t="shared" si="17"/>
        <v>octobre</v>
      </c>
      <c r="D918" t="s">
        <v>66</v>
      </c>
      <c r="E918" t="s">
        <v>1584</v>
      </c>
      <c r="F918">
        <v>8</v>
      </c>
      <c r="G918" t="s">
        <v>17</v>
      </c>
      <c r="H918">
        <v>7.2</v>
      </c>
      <c r="I918">
        <f>Table1[[#This Row],[Quantité corrigé]]*Table1[[#This Row],[Prix_Unitaire_HT]]</f>
        <v>57.6</v>
      </c>
    </row>
    <row r="919" spans="1:9" x14ac:dyDescent="0.25">
      <c r="A919" t="s">
        <v>1208</v>
      </c>
      <c r="B919" t="s">
        <v>1206</v>
      </c>
      <c r="C919" s="2" t="str">
        <f t="shared" si="17"/>
        <v>octobre</v>
      </c>
      <c r="D919" t="s">
        <v>69</v>
      </c>
      <c r="E919" t="s">
        <v>1585</v>
      </c>
      <c r="F919">
        <v>12</v>
      </c>
      <c r="G919" t="s">
        <v>39</v>
      </c>
      <c r="H919">
        <v>5.88</v>
      </c>
      <c r="I919">
        <f>Table1[[#This Row],[Quantité corrigé]]*Table1[[#This Row],[Prix_Unitaire_HT]]</f>
        <v>70.56</v>
      </c>
    </row>
    <row r="920" spans="1:9" x14ac:dyDescent="0.25">
      <c r="A920" t="s">
        <v>1209</v>
      </c>
      <c r="B920" t="s">
        <v>1206</v>
      </c>
      <c r="C920" s="2" t="str">
        <f t="shared" si="17"/>
        <v>octobre</v>
      </c>
      <c r="D920" t="s">
        <v>69</v>
      </c>
      <c r="E920" t="s">
        <v>1586</v>
      </c>
      <c r="F920">
        <v>12</v>
      </c>
      <c r="G920" t="s">
        <v>43</v>
      </c>
      <c r="H920">
        <v>4.03</v>
      </c>
      <c r="I920">
        <f>Table1[[#This Row],[Quantité corrigé]]*Table1[[#This Row],[Prix_Unitaire_HT]]</f>
        <v>48.36</v>
      </c>
    </row>
    <row r="921" spans="1:9" x14ac:dyDescent="0.25">
      <c r="A921" t="s">
        <v>1210</v>
      </c>
      <c r="B921" t="s">
        <v>1211</v>
      </c>
      <c r="C921" s="2" t="str">
        <f t="shared" si="17"/>
        <v>octobre</v>
      </c>
      <c r="D921" t="s">
        <v>195</v>
      </c>
      <c r="E921" t="s">
        <v>1588</v>
      </c>
      <c r="F921">
        <v>6</v>
      </c>
      <c r="G921" t="s">
        <v>17</v>
      </c>
      <c r="H921">
        <v>8.4</v>
      </c>
      <c r="I921">
        <f>Table1[[#This Row],[Quantité corrigé]]*Table1[[#This Row],[Prix_Unitaire_HT]]</f>
        <v>50.400000000000006</v>
      </c>
    </row>
    <row r="922" spans="1:9" x14ac:dyDescent="0.25">
      <c r="A922" t="s">
        <v>1212</v>
      </c>
      <c r="B922" t="s">
        <v>1213</v>
      </c>
      <c r="C922" s="2" t="str">
        <f t="shared" si="17"/>
        <v>octobre</v>
      </c>
      <c r="D922" t="s">
        <v>61</v>
      </c>
      <c r="E922" t="s">
        <v>1577</v>
      </c>
      <c r="F922">
        <v>4</v>
      </c>
      <c r="G922" t="s">
        <v>11</v>
      </c>
      <c r="H922">
        <v>14.31</v>
      </c>
      <c r="I922">
        <f>Table1[[#This Row],[Quantité corrigé]]*Table1[[#This Row],[Prix_Unitaire_HT]]</f>
        <v>57.24</v>
      </c>
    </row>
    <row r="923" spans="1:9" x14ac:dyDescent="0.25">
      <c r="A923" t="s">
        <v>1214</v>
      </c>
      <c r="B923" t="s">
        <v>1213</v>
      </c>
      <c r="C923" s="2" t="str">
        <f t="shared" si="17"/>
        <v>octobre</v>
      </c>
      <c r="D923" t="s">
        <v>61</v>
      </c>
      <c r="E923" t="s">
        <v>1578</v>
      </c>
      <c r="F923">
        <v>5</v>
      </c>
      <c r="G923" t="s">
        <v>11</v>
      </c>
      <c r="H923">
        <v>12.98</v>
      </c>
      <c r="I923">
        <f>Table1[[#This Row],[Quantité corrigé]]*Table1[[#This Row],[Prix_Unitaire_HT]]</f>
        <v>64.900000000000006</v>
      </c>
    </row>
    <row r="924" spans="1:9" x14ac:dyDescent="0.25">
      <c r="A924" t="s">
        <v>1215</v>
      </c>
      <c r="B924" t="s">
        <v>1213</v>
      </c>
      <c r="C924" s="2" t="str">
        <f t="shared" si="17"/>
        <v>octobre</v>
      </c>
      <c r="D924" t="s">
        <v>61</v>
      </c>
      <c r="E924" t="s">
        <v>1579</v>
      </c>
      <c r="F924">
        <v>4</v>
      </c>
      <c r="G924" t="s">
        <v>17</v>
      </c>
      <c r="H924">
        <v>1.25</v>
      </c>
      <c r="I924">
        <f>Table1[[#This Row],[Quantité corrigé]]*Table1[[#This Row],[Prix_Unitaire_HT]]</f>
        <v>5</v>
      </c>
    </row>
    <row r="925" spans="1:9" x14ac:dyDescent="0.25">
      <c r="A925" t="s">
        <v>1216</v>
      </c>
      <c r="B925" t="s">
        <v>1213</v>
      </c>
      <c r="C925" s="2" t="str">
        <f t="shared" si="17"/>
        <v>octobre</v>
      </c>
      <c r="D925" t="s">
        <v>19</v>
      </c>
      <c r="E925" t="s">
        <v>1580</v>
      </c>
      <c r="F925">
        <v>6</v>
      </c>
      <c r="G925" t="s">
        <v>21</v>
      </c>
      <c r="H925">
        <v>4.05</v>
      </c>
      <c r="I925">
        <f>Table1[[#This Row],[Quantité corrigé]]*Table1[[#This Row],[Prix_Unitaire_HT]]</f>
        <v>24.299999999999997</v>
      </c>
    </row>
    <row r="926" spans="1:9" x14ac:dyDescent="0.25">
      <c r="A926" t="s">
        <v>1217</v>
      </c>
      <c r="B926" t="s">
        <v>1213</v>
      </c>
      <c r="C926" s="2" t="str">
        <f t="shared" si="17"/>
        <v>octobre</v>
      </c>
      <c r="D926" t="s">
        <v>19</v>
      </c>
      <c r="E926" t="s">
        <v>1581</v>
      </c>
      <c r="F926">
        <v>8</v>
      </c>
      <c r="G926" t="s">
        <v>25</v>
      </c>
      <c r="H926">
        <v>21.58</v>
      </c>
      <c r="I926">
        <f>Table1[[#This Row],[Quantité corrigé]]*Table1[[#This Row],[Prix_Unitaire_HT]]</f>
        <v>172.64</v>
      </c>
    </row>
    <row r="927" spans="1:9" x14ac:dyDescent="0.25">
      <c r="A927" t="s">
        <v>1218</v>
      </c>
      <c r="B927" t="s">
        <v>1213</v>
      </c>
      <c r="C927" s="2" t="str">
        <f t="shared" si="17"/>
        <v>octobre</v>
      </c>
      <c r="D927" t="s">
        <v>19</v>
      </c>
      <c r="E927" t="s">
        <v>1582</v>
      </c>
      <c r="F927">
        <v>10</v>
      </c>
      <c r="G927" t="s">
        <v>29</v>
      </c>
      <c r="H927">
        <v>10.49</v>
      </c>
      <c r="I927">
        <f>Table1[[#This Row],[Quantité corrigé]]*Table1[[#This Row],[Prix_Unitaire_HT]]</f>
        <v>104.9</v>
      </c>
    </row>
    <row r="928" spans="1:9" x14ac:dyDescent="0.25">
      <c r="A928" t="s">
        <v>1219</v>
      </c>
      <c r="B928" t="s">
        <v>1220</v>
      </c>
      <c r="C928" s="2" t="str">
        <f t="shared" si="17"/>
        <v>octobre</v>
      </c>
      <c r="D928" t="s">
        <v>66</v>
      </c>
      <c r="E928" t="s">
        <v>1583</v>
      </c>
      <c r="F928">
        <v>6</v>
      </c>
      <c r="G928" t="s">
        <v>17</v>
      </c>
      <c r="H928">
        <v>10.56</v>
      </c>
      <c r="I928">
        <f>Table1[[#This Row],[Quantité corrigé]]*Table1[[#This Row],[Prix_Unitaire_HT]]</f>
        <v>63.36</v>
      </c>
    </row>
    <row r="929" spans="1:9" x14ac:dyDescent="0.25">
      <c r="A929" t="s">
        <v>1221</v>
      </c>
      <c r="B929" t="s">
        <v>1220</v>
      </c>
      <c r="C929" s="2" t="str">
        <f t="shared" si="17"/>
        <v>octobre</v>
      </c>
      <c r="D929" t="s">
        <v>66</v>
      </c>
      <c r="E929" t="s">
        <v>1584</v>
      </c>
      <c r="F929">
        <v>10</v>
      </c>
      <c r="G929" t="s">
        <v>17</v>
      </c>
      <c r="H929">
        <v>6.86</v>
      </c>
      <c r="I929">
        <f>Table1[[#This Row],[Quantité corrigé]]*Table1[[#This Row],[Prix_Unitaire_HT]]</f>
        <v>68.600000000000009</v>
      </c>
    </row>
    <row r="930" spans="1:9" x14ac:dyDescent="0.25">
      <c r="A930" t="s">
        <v>1222</v>
      </c>
      <c r="B930" t="s">
        <v>1220</v>
      </c>
      <c r="C930" s="2" t="str">
        <f t="shared" si="17"/>
        <v>octobre</v>
      </c>
      <c r="D930" t="s">
        <v>69</v>
      </c>
      <c r="E930" t="s">
        <v>1585</v>
      </c>
      <c r="F930">
        <v>8</v>
      </c>
      <c r="G930" t="s">
        <v>39</v>
      </c>
      <c r="H930">
        <v>5.95</v>
      </c>
      <c r="I930">
        <f>Table1[[#This Row],[Quantité corrigé]]*Table1[[#This Row],[Prix_Unitaire_HT]]</f>
        <v>47.6</v>
      </c>
    </row>
    <row r="931" spans="1:9" x14ac:dyDescent="0.25">
      <c r="A931" t="s">
        <v>1223</v>
      </c>
      <c r="B931" t="s">
        <v>1220</v>
      </c>
      <c r="C931" s="2" t="str">
        <f t="shared" si="17"/>
        <v>octobre</v>
      </c>
      <c r="D931" t="s">
        <v>69</v>
      </c>
      <c r="E931" t="s">
        <v>1586</v>
      </c>
      <c r="F931">
        <v>8</v>
      </c>
      <c r="G931" t="s">
        <v>43</v>
      </c>
      <c r="H931">
        <v>3.89</v>
      </c>
      <c r="I931">
        <f>Table1[[#This Row],[Quantité corrigé]]*Table1[[#This Row],[Prix_Unitaire_HT]]</f>
        <v>31.12</v>
      </c>
    </row>
    <row r="932" spans="1:9" x14ac:dyDescent="0.25">
      <c r="A932" t="s">
        <v>1224</v>
      </c>
      <c r="B932" t="s">
        <v>1225</v>
      </c>
      <c r="C932" s="2" t="str">
        <f t="shared" si="17"/>
        <v>octobre</v>
      </c>
      <c r="D932" t="s">
        <v>19</v>
      </c>
      <c r="E932" t="s">
        <v>1580</v>
      </c>
      <c r="F932">
        <v>6</v>
      </c>
      <c r="G932" t="s">
        <v>21</v>
      </c>
      <c r="H932">
        <v>4.09</v>
      </c>
      <c r="I932">
        <f>Table1[[#This Row],[Quantité corrigé]]*Table1[[#This Row],[Prix_Unitaire_HT]]</f>
        <v>24.54</v>
      </c>
    </row>
    <row r="933" spans="1:9" x14ac:dyDescent="0.25">
      <c r="A933" t="s">
        <v>1226</v>
      </c>
      <c r="B933" t="s">
        <v>1225</v>
      </c>
      <c r="C933" s="2" t="str">
        <f t="shared" si="17"/>
        <v>octobre</v>
      </c>
      <c r="D933" t="s">
        <v>19</v>
      </c>
      <c r="E933" t="s">
        <v>1581</v>
      </c>
      <c r="F933">
        <v>10</v>
      </c>
      <c r="G933" t="s">
        <v>25</v>
      </c>
      <c r="H933">
        <v>21.98</v>
      </c>
      <c r="I933">
        <f>Table1[[#This Row],[Quantité corrigé]]*Table1[[#This Row],[Prix_Unitaire_HT]]</f>
        <v>219.8</v>
      </c>
    </row>
    <row r="934" spans="1:9" x14ac:dyDescent="0.25">
      <c r="A934" t="s">
        <v>1227</v>
      </c>
      <c r="B934" t="s">
        <v>1225</v>
      </c>
      <c r="C934" s="2" t="str">
        <f t="shared" si="17"/>
        <v>octobre</v>
      </c>
      <c r="D934" t="s">
        <v>19</v>
      </c>
      <c r="E934" t="s">
        <v>1582</v>
      </c>
      <c r="F934">
        <v>8</v>
      </c>
      <c r="G934" t="s">
        <v>29</v>
      </c>
      <c r="H934">
        <v>9.48</v>
      </c>
      <c r="I934">
        <f>Table1[[#This Row],[Quantité corrigé]]*Table1[[#This Row],[Prix_Unitaire_HT]]</f>
        <v>75.84</v>
      </c>
    </row>
    <row r="935" spans="1:9" x14ac:dyDescent="0.25">
      <c r="A935" t="s">
        <v>1228</v>
      </c>
      <c r="B935" t="s">
        <v>1225</v>
      </c>
      <c r="C935" s="2" t="str">
        <f t="shared" si="17"/>
        <v>octobre</v>
      </c>
      <c r="D935" t="s">
        <v>50</v>
      </c>
      <c r="E935" t="s">
        <v>1587</v>
      </c>
      <c r="F935">
        <v>2</v>
      </c>
      <c r="G935" t="s">
        <v>52</v>
      </c>
      <c r="H935">
        <v>18.940000000000001</v>
      </c>
      <c r="I935">
        <f>Table1[[#This Row],[Quantité corrigé]]*Table1[[#This Row],[Prix_Unitaire_HT]]</f>
        <v>37.880000000000003</v>
      </c>
    </row>
    <row r="936" spans="1:9" x14ac:dyDescent="0.25">
      <c r="A936" t="s">
        <v>1229</v>
      </c>
      <c r="B936" t="s">
        <v>1225</v>
      </c>
      <c r="C936" s="2" t="str">
        <f t="shared" si="17"/>
        <v>octobre</v>
      </c>
      <c r="D936" t="s">
        <v>195</v>
      </c>
      <c r="E936" t="s">
        <v>1588</v>
      </c>
      <c r="F936">
        <v>8</v>
      </c>
      <c r="G936" t="s">
        <v>17</v>
      </c>
      <c r="H936">
        <v>9.2200000000000006</v>
      </c>
      <c r="I936">
        <f>Table1[[#This Row],[Quantité corrigé]]*Table1[[#This Row],[Prix_Unitaire_HT]]</f>
        <v>73.760000000000005</v>
      </c>
    </row>
    <row r="937" spans="1:9" x14ac:dyDescent="0.25">
      <c r="A937" t="s">
        <v>1230</v>
      </c>
      <c r="B937" t="s">
        <v>1231</v>
      </c>
      <c r="C937" s="2" t="str">
        <f t="shared" si="17"/>
        <v>octobre</v>
      </c>
      <c r="D937" t="s">
        <v>61</v>
      </c>
      <c r="E937" t="s">
        <v>1577</v>
      </c>
      <c r="F937">
        <v>5</v>
      </c>
      <c r="G937" t="s">
        <v>11</v>
      </c>
      <c r="H937">
        <v>14.06</v>
      </c>
      <c r="I937">
        <f>Table1[[#This Row],[Quantité corrigé]]*Table1[[#This Row],[Prix_Unitaire_HT]]</f>
        <v>70.3</v>
      </c>
    </row>
    <row r="938" spans="1:9" x14ac:dyDescent="0.25">
      <c r="A938" t="s">
        <v>1232</v>
      </c>
      <c r="B938" t="s">
        <v>1231</v>
      </c>
      <c r="C938" s="2" t="str">
        <f t="shared" si="17"/>
        <v>octobre</v>
      </c>
      <c r="D938" t="s">
        <v>61</v>
      </c>
      <c r="E938" t="s">
        <v>1578</v>
      </c>
      <c r="F938">
        <v>4</v>
      </c>
      <c r="G938" t="s">
        <v>11</v>
      </c>
      <c r="H938">
        <v>13.94</v>
      </c>
      <c r="I938">
        <f>Table1[[#This Row],[Quantité corrigé]]*Table1[[#This Row],[Prix_Unitaire_HT]]</f>
        <v>55.76</v>
      </c>
    </row>
    <row r="939" spans="1:9" x14ac:dyDescent="0.25">
      <c r="A939" t="s">
        <v>1233</v>
      </c>
      <c r="B939" t="s">
        <v>1231</v>
      </c>
      <c r="C939" s="2" t="str">
        <f t="shared" si="17"/>
        <v>octobre</v>
      </c>
      <c r="D939" t="s">
        <v>61</v>
      </c>
      <c r="E939" t="s">
        <v>1579</v>
      </c>
      <c r="F939">
        <v>4</v>
      </c>
      <c r="G939" t="s">
        <v>17</v>
      </c>
      <c r="H939">
        <v>1.21</v>
      </c>
      <c r="I939">
        <f>Table1[[#This Row],[Quantité corrigé]]*Table1[[#This Row],[Prix_Unitaire_HT]]</f>
        <v>4.84</v>
      </c>
    </row>
    <row r="940" spans="1:9" x14ac:dyDescent="0.25">
      <c r="A940" t="s">
        <v>1234</v>
      </c>
      <c r="B940" t="s">
        <v>1235</v>
      </c>
      <c r="C940" s="2" t="str">
        <f t="shared" si="17"/>
        <v>octobre</v>
      </c>
      <c r="D940" t="s">
        <v>66</v>
      </c>
      <c r="E940" t="s">
        <v>1583</v>
      </c>
      <c r="F940">
        <v>6</v>
      </c>
      <c r="G940" t="s">
        <v>17</v>
      </c>
      <c r="H940">
        <v>9.16</v>
      </c>
      <c r="I940">
        <f>Table1[[#This Row],[Quantité corrigé]]*Table1[[#This Row],[Prix_Unitaire_HT]]</f>
        <v>54.96</v>
      </c>
    </row>
    <row r="941" spans="1:9" x14ac:dyDescent="0.25">
      <c r="A941" t="s">
        <v>1236</v>
      </c>
      <c r="B941" t="s">
        <v>1235</v>
      </c>
      <c r="C941" s="2" t="str">
        <f t="shared" si="17"/>
        <v>octobre</v>
      </c>
      <c r="D941" t="s">
        <v>66</v>
      </c>
      <c r="E941" t="s">
        <v>1584</v>
      </c>
      <c r="F941">
        <v>6</v>
      </c>
      <c r="G941" t="s">
        <v>17</v>
      </c>
      <c r="H941">
        <v>7.04</v>
      </c>
      <c r="I941">
        <f>Table1[[#This Row],[Quantité corrigé]]*Table1[[#This Row],[Prix_Unitaire_HT]]</f>
        <v>42.24</v>
      </c>
    </row>
    <row r="942" spans="1:9" x14ac:dyDescent="0.25">
      <c r="A942" t="s">
        <v>1237</v>
      </c>
      <c r="B942" t="s">
        <v>1235</v>
      </c>
      <c r="C942" s="2" t="str">
        <f t="shared" si="17"/>
        <v>octobre</v>
      </c>
      <c r="D942" t="s">
        <v>69</v>
      </c>
      <c r="E942" t="s">
        <v>1585</v>
      </c>
      <c r="F942">
        <v>5</v>
      </c>
      <c r="G942" t="s">
        <v>39</v>
      </c>
      <c r="H942">
        <v>6.03</v>
      </c>
      <c r="I942">
        <f>Table1[[#This Row],[Quantité corrigé]]*Table1[[#This Row],[Prix_Unitaire_HT]]</f>
        <v>30.150000000000002</v>
      </c>
    </row>
    <row r="943" spans="1:9" x14ac:dyDescent="0.25">
      <c r="A943" t="s">
        <v>1238</v>
      </c>
      <c r="B943" t="s">
        <v>1235</v>
      </c>
      <c r="C943" s="2" t="str">
        <f t="shared" si="17"/>
        <v>octobre</v>
      </c>
      <c r="D943" t="s">
        <v>69</v>
      </c>
      <c r="E943" t="s">
        <v>1586</v>
      </c>
      <c r="F943">
        <v>8</v>
      </c>
      <c r="G943" t="s">
        <v>43</v>
      </c>
      <c r="H943">
        <v>3.93</v>
      </c>
      <c r="I943">
        <f>Table1[[#This Row],[Quantité corrigé]]*Table1[[#This Row],[Prix_Unitaire_HT]]</f>
        <v>31.44</v>
      </c>
    </row>
    <row r="944" spans="1:9" x14ac:dyDescent="0.25">
      <c r="A944" t="s">
        <v>1239</v>
      </c>
      <c r="B944" t="s">
        <v>1240</v>
      </c>
      <c r="C944" s="2" t="str">
        <f t="shared" si="17"/>
        <v>octobre</v>
      </c>
      <c r="D944" t="s">
        <v>195</v>
      </c>
      <c r="E944" t="s">
        <v>1588</v>
      </c>
      <c r="F944">
        <v>4</v>
      </c>
      <c r="G944" t="s">
        <v>17</v>
      </c>
      <c r="H944">
        <v>8.91</v>
      </c>
      <c r="I944">
        <f>Table1[[#This Row],[Quantité corrigé]]*Table1[[#This Row],[Prix_Unitaire_HT]]</f>
        <v>35.64</v>
      </c>
    </row>
    <row r="945" spans="1:9" x14ac:dyDescent="0.25">
      <c r="A945" t="s">
        <v>1241</v>
      </c>
      <c r="B945" t="s">
        <v>1242</v>
      </c>
      <c r="C945" s="2" t="str">
        <f t="shared" si="17"/>
        <v>octobre</v>
      </c>
      <c r="D945" t="s">
        <v>61</v>
      </c>
      <c r="E945" t="s">
        <v>1577</v>
      </c>
      <c r="F945">
        <v>5</v>
      </c>
      <c r="G945" t="s">
        <v>11</v>
      </c>
      <c r="H945">
        <v>14</v>
      </c>
      <c r="I945">
        <f>Table1[[#This Row],[Quantité corrigé]]*Table1[[#This Row],[Prix_Unitaire_HT]]</f>
        <v>70</v>
      </c>
    </row>
    <row r="946" spans="1:9" x14ac:dyDescent="0.25">
      <c r="A946" t="s">
        <v>1243</v>
      </c>
      <c r="B946" t="s">
        <v>1242</v>
      </c>
      <c r="C946" s="2" t="str">
        <f t="shared" si="17"/>
        <v>octobre</v>
      </c>
      <c r="D946" t="s">
        <v>61</v>
      </c>
      <c r="E946" t="s">
        <v>1578</v>
      </c>
      <c r="F946">
        <v>6</v>
      </c>
      <c r="G946" t="s">
        <v>11</v>
      </c>
      <c r="H946">
        <v>13.38</v>
      </c>
      <c r="I946">
        <f>Table1[[#This Row],[Quantité corrigé]]*Table1[[#This Row],[Prix_Unitaire_HT]]</f>
        <v>80.28</v>
      </c>
    </row>
    <row r="947" spans="1:9" x14ac:dyDescent="0.25">
      <c r="A947" t="s">
        <v>1244</v>
      </c>
      <c r="B947" t="s">
        <v>1242</v>
      </c>
      <c r="C947" s="2" t="str">
        <f t="shared" si="17"/>
        <v>octobre</v>
      </c>
      <c r="D947" t="s">
        <v>61</v>
      </c>
      <c r="E947" t="s">
        <v>1579</v>
      </c>
      <c r="F947">
        <v>5</v>
      </c>
      <c r="G947" t="s">
        <v>17</v>
      </c>
      <c r="H947">
        <v>1.22</v>
      </c>
      <c r="I947">
        <f>Table1[[#This Row],[Quantité corrigé]]*Table1[[#This Row],[Prix_Unitaire_HT]]</f>
        <v>6.1</v>
      </c>
    </row>
    <row r="948" spans="1:9" x14ac:dyDescent="0.25">
      <c r="A948" t="s">
        <v>1245</v>
      </c>
      <c r="B948" t="s">
        <v>1242</v>
      </c>
      <c r="C948" s="2" t="str">
        <f t="shared" si="17"/>
        <v>octobre</v>
      </c>
      <c r="D948" t="s">
        <v>19</v>
      </c>
      <c r="E948" t="s">
        <v>1580</v>
      </c>
      <c r="F948">
        <v>4</v>
      </c>
      <c r="G948" t="s">
        <v>21</v>
      </c>
      <c r="H948">
        <v>4.5199999999999996</v>
      </c>
      <c r="I948">
        <f>Table1[[#This Row],[Quantité corrigé]]*Table1[[#This Row],[Prix_Unitaire_HT]]</f>
        <v>18.079999999999998</v>
      </c>
    </row>
    <row r="949" spans="1:9" x14ac:dyDescent="0.25">
      <c r="A949" t="s">
        <v>1246</v>
      </c>
      <c r="B949" t="s">
        <v>1242</v>
      </c>
      <c r="C949" s="2" t="str">
        <f t="shared" si="17"/>
        <v>octobre</v>
      </c>
      <c r="D949" t="s">
        <v>19</v>
      </c>
      <c r="E949" t="s">
        <v>1581</v>
      </c>
      <c r="F949">
        <v>6</v>
      </c>
      <c r="G949" t="s">
        <v>25</v>
      </c>
      <c r="H949">
        <v>22.82</v>
      </c>
      <c r="I949">
        <f>Table1[[#This Row],[Quantité corrigé]]*Table1[[#This Row],[Prix_Unitaire_HT]]</f>
        <v>136.92000000000002</v>
      </c>
    </row>
    <row r="950" spans="1:9" x14ac:dyDescent="0.25">
      <c r="A950" t="s">
        <v>1247</v>
      </c>
      <c r="B950" t="s">
        <v>1242</v>
      </c>
      <c r="C950" s="2" t="str">
        <f t="shared" si="17"/>
        <v>octobre</v>
      </c>
      <c r="D950" t="s">
        <v>19</v>
      </c>
      <c r="E950" t="s">
        <v>1582</v>
      </c>
      <c r="F950">
        <v>6</v>
      </c>
      <c r="G950" t="s">
        <v>29</v>
      </c>
      <c r="H950">
        <v>10.37</v>
      </c>
      <c r="I950">
        <f>Table1[[#This Row],[Quantité corrigé]]*Table1[[#This Row],[Prix_Unitaire_HT]]</f>
        <v>62.22</v>
      </c>
    </row>
    <row r="951" spans="1:9" x14ac:dyDescent="0.25">
      <c r="A951" t="s">
        <v>1248</v>
      </c>
      <c r="B951" t="s">
        <v>1249</v>
      </c>
      <c r="C951" s="2" t="str">
        <f t="shared" si="17"/>
        <v>octobre</v>
      </c>
      <c r="D951" t="s">
        <v>66</v>
      </c>
      <c r="E951" t="s">
        <v>1583</v>
      </c>
      <c r="F951">
        <v>5</v>
      </c>
      <c r="G951" t="s">
        <v>17</v>
      </c>
      <c r="H951">
        <v>9.83</v>
      </c>
      <c r="I951">
        <f>Table1[[#This Row],[Quantité corrigé]]*Table1[[#This Row],[Prix_Unitaire_HT]]</f>
        <v>49.15</v>
      </c>
    </row>
    <row r="952" spans="1:9" x14ac:dyDescent="0.25">
      <c r="A952" t="s">
        <v>1250</v>
      </c>
      <c r="B952" t="s">
        <v>1249</v>
      </c>
      <c r="C952" s="2" t="str">
        <f t="shared" si="17"/>
        <v>octobre</v>
      </c>
      <c r="D952" t="s">
        <v>66</v>
      </c>
      <c r="E952" t="s">
        <v>1584</v>
      </c>
      <c r="F952">
        <v>6</v>
      </c>
      <c r="G952" t="s">
        <v>17</v>
      </c>
      <c r="H952">
        <v>6.65</v>
      </c>
      <c r="I952">
        <f>Table1[[#This Row],[Quantité corrigé]]*Table1[[#This Row],[Prix_Unitaire_HT]]</f>
        <v>39.900000000000006</v>
      </c>
    </row>
    <row r="953" spans="1:9" x14ac:dyDescent="0.25">
      <c r="A953" t="s">
        <v>1251</v>
      </c>
      <c r="B953" t="s">
        <v>1249</v>
      </c>
      <c r="C953" s="2" t="str">
        <f t="shared" si="17"/>
        <v>octobre</v>
      </c>
      <c r="D953" t="s">
        <v>69</v>
      </c>
      <c r="E953" t="s">
        <v>1585</v>
      </c>
      <c r="F953">
        <v>10</v>
      </c>
      <c r="G953" t="s">
        <v>39</v>
      </c>
      <c r="H953">
        <v>5.7</v>
      </c>
      <c r="I953">
        <f>Table1[[#This Row],[Quantité corrigé]]*Table1[[#This Row],[Prix_Unitaire_HT]]</f>
        <v>57</v>
      </c>
    </row>
    <row r="954" spans="1:9" x14ac:dyDescent="0.25">
      <c r="A954" t="s">
        <v>1252</v>
      </c>
      <c r="B954" t="s">
        <v>1249</v>
      </c>
      <c r="C954" s="2" t="str">
        <f t="shared" si="17"/>
        <v>octobre</v>
      </c>
      <c r="D954" t="s">
        <v>69</v>
      </c>
      <c r="E954" t="s">
        <v>1586</v>
      </c>
      <c r="F954">
        <v>12</v>
      </c>
      <c r="G954" t="s">
        <v>43</v>
      </c>
      <c r="H954">
        <v>4.04</v>
      </c>
      <c r="I954">
        <f>Table1[[#This Row],[Quantité corrigé]]*Table1[[#This Row],[Prix_Unitaire_HT]]</f>
        <v>48.480000000000004</v>
      </c>
    </row>
    <row r="955" spans="1:9" x14ac:dyDescent="0.25">
      <c r="A955" t="s">
        <v>1253</v>
      </c>
      <c r="B955" t="s">
        <v>1254</v>
      </c>
      <c r="C955" s="2" t="str">
        <f t="shared" si="17"/>
        <v>octobre</v>
      </c>
      <c r="D955" t="s">
        <v>19</v>
      </c>
      <c r="E955" t="s">
        <v>1580</v>
      </c>
      <c r="F955">
        <v>4</v>
      </c>
      <c r="G955" t="s">
        <v>21</v>
      </c>
      <c r="H955">
        <v>4.2300000000000004</v>
      </c>
      <c r="I955">
        <f>Table1[[#This Row],[Quantité corrigé]]*Table1[[#This Row],[Prix_Unitaire_HT]]</f>
        <v>16.920000000000002</v>
      </c>
    </row>
    <row r="956" spans="1:9" x14ac:dyDescent="0.25">
      <c r="A956" t="s">
        <v>1255</v>
      </c>
      <c r="B956" t="s">
        <v>1254</v>
      </c>
      <c r="C956" s="2" t="str">
        <f t="shared" si="17"/>
        <v>octobre</v>
      </c>
      <c r="D956" t="s">
        <v>19</v>
      </c>
      <c r="E956" t="s">
        <v>1581</v>
      </c>
      <c r="F956">
        <v>4</v>
      </c>
      <c r="G956" t="s">
        <v>25</v>
      </c>
      <c r="H956">
        <v>22.43</v>
      </c>
      <c r="I956">
        <f>Table1[[#This Row],[Quantité corrigé]]*Table1[[#This Row],[Prix_Unitaire_HT]]</f>
        <v>89.72</v>
      </c>
    </row>
    <row r="957" spans="1:9" x14ac:dyDescent="0.25">
      <c r="A957" t="s">
        <v>1256</v>
      </c>
      <c r="B957" t="s">
        <v>1254</v>
      </c>
      <c r="C957" s="2" t="str">
        <f t="shared" si="17"/>
        <v>octobre</v>
      </c>
      <c r="D957" t="s">
        <v>19</v>
      </c>
      <c r="E957" t="s">
        <v>1582</v>
      </c>
      <c r="F957">
        <v>4</v>
      </c>
      <c r="G957" t="s">
        <v>29</v>
      </c>
      <c r="H957">
        <v>10.199999999999999</v>
      </c>
      <c r="I957">
        <f>Table1[[#This Row],[Quantité corrigé]]*Table1[[#This Row],[Prix_Unitaire_HT]]</f>
        <v>40.799999999999997</v>
      </c>
    </row>
    <row r="958" spans="1:9" x14ac:dyDescent="0.25">
      <c r="A958" t="s">
        <v>1257</v>
      </c>
      <c r="B958" t="s">
        <v>1254</v>
      </c>
      <c r="C958" s="2" t="str">
        <f t="shared" si="17"/>
        <v>octobre</v>
      </c>
      <c r="D958" t="s">
        <v>50</v>
      </c>
      <c r="E958" t="s">
        <v>1587</v>
      </c>
      <c r="F958">
        <v>4</v>
      </c>
      <c r="G958" t="s">
        <v>52</v>
      </c>
      <c r="H958">
        <v>18.239999999999998</v>
      </c>
      <c r="I958">
        <f>Table1[[#This Row],[Quantité corrigé]]*Table1[[#This Row],[Prix_Unitaire_HT]]</f>
        <v>72.959999999999994</v>
      </c>
    </row>
    <row r="959" spans="1:9" x14ac:dyDescent="0.25">
      <c r="A959" t="s">
        <v>1258</v>
      </c>
      <c r="B959" t="s">
        <v>1254</v>
      </c>
      <c r="C959" s="2" t="str">
        <f t="shared" si="17"/>
        <v>octobre</v>
      </c>
      <c r="D959" t="s">
        <v>195</v>
      </c>
      <c r="E959" t="s">
        <v>1588</v>
      </c>
      <c r="F959">
        <v>10</v>
      </c>
      <c r="G959" t="s">
        <v>17</v>
      </c>
      <c r="H959">
        <v>8.77</v>
      </c>
      <c r="I959">
        <f>Table1[[#This Row],[Quantité corrigé]]*Table1[[#This Row],[Prix_Unitaire_HT]]</f>
        <v>87.699999999999989</v>
      </c>
    </row>
    <row r="960" spans="1:9" x14ac:dyDescent="0.25">
      <c r="A960" t="s">
        <v>1259</v>
      </c>
      <c r="B960" t="s">
        <v>1260</v>
      </c>
      <c r="C960" s="2" t="str">
        <f t="shared" si="17"/>
        <v>octobre</v>
      </c>
      <c r="D960" t="s">
        <v>61</v>
      </c>
      <c r="E960" t="s">
        <v>1577</v>
      </c>
      <c r="F960">
        <v>6</v>
      </c>
      <c r="G960" t="s">
        <v>11</v>
      </c>
      <c r="H960">
        <v>14.17</v>
      </c>
      <c r="I960">
        <f>Table1[[#This Row],[Quantité corrigé]]*Table1[[#This Row],[Prix_Unitaire_HT]]</f>
        <v>85.02</v>
      </c>
    </row>
    <row r="961" spans="1:9" x14ac:dyDescent="0.25">
      <c r="A961" t="s">
        <v>1261</v>
      </c>
      <c r="B961" t="s">
        <v>1260</v>
      </c>
      <c r="C961" s="2" t="str">
        <f t="shared" si="17"/>
        <v>octobre</v>
      </c>
      <c r="D961" t="s">
        <v>61</v>
      </c>
      <c r="E961" t="s">
        <v>1578</v>
      </c>
      <c r="F961">
        <v>5</v>
      </c>
      <c r="G961" t="s">
        <v>11</v>
      </c>
      <c r="H961">
        <v>13.94</v>
      </c>
      <c r="I961">
        <f>Table1[[#This Row],[Quantité corrigé]]*Table1[[#This Row],[Prix_Unitaire_HT]]</f>
        <v>69.7</v>
      </c>
    </row>
    <row r="962" spans="1:9" x14ac:dyDescent="0.25">
      <c r="A962" t="s">
        <v>1262</v>
      </c>
      <c r="B962" t="s">
        <v>1260</v>
      </c>
      <c r="C962" s="2" t="str">
        <f t="shared" ref="C962:C1025" si="18">TEXT(DATE(2024,MID(B962,4,2),_xlfn.TEXTBEFORE(B962,"/",1)),"mmmm")</f>
        <v>octobre</v>
      </c>
      <c r="D962" t="s">
        <v>61</v>
      </c>
      <c r="E962" t="s">
        <v>1579</v>
      </c>
      <c r="F962">
        <v>3</v>
      </c>
      <c r="G962" t="s">
        <v>17</v>
      </c>
      <c r="H962">
        <v>1.22</v>
      </c>
      <c r="I962">
        <f>Table1[[#This Row],[Quantité corrigé]]*Table1[[#This Row],[Prix_Unitaire_HT]]</f>
        <v>3.66</v>
      </c>
    </row>
    <row r="963" spans="1:9" x14ac:dyDescent="0.25">
      <c r="A963" t="s">
        <v>1263</v>
      </c>
      <c r="B963" t="s">
        <v>1264</v>
      </c>
      <c r="C963" s="2" t="str">
        <f t="shared" si="18"/>
        <v>octobre</v>
      </c>
      <c r="D963" t="s">
        <v>66</v>
      </c>
      <c r="E963" t="s">
        <v>1583</v>
      </c>
      <c r="F963">
        <v>12</v>
      </c>
      <c r="G963" t="s">
        <v>17</v>
      </c>
      <c r="H963">
        <v>8.4600000000000009</v>
      </c>
      <c r="I963">
        <f>Table1[[#This Row],[Quantité corrigé]]*Table1[[#This Row],[Prix_Unitaire_HT]]</f>
        <v>101.52000000000001</v>
      </c>
    </row>
    <row r="964" spans="1:9" x14ac:dyDescent="0.25">
      <c r="A964" t="s">
        <v>1265</v>
      </c>
      <c r="B964" t="s">
        <v>1264</v>
      </c>
      <c r="C964" s="2" t="str">
        <f t="shared" si="18"/>
        <v>octobre</v>
      </c>
      <c r="D964" t="s">
        <v>66</v>
      </c>
      <c r="E964" t="s">
        <v>1584</v>
      </c>
      <c r="F964">
        <v>8</v>
      </c>
      <c r="G964" t="s">
        <v>17</v>
      </c>
      <c r="H964">
        <v>6.98</v>
      </c>
      <c r="I964">
        <f>Table1[[#This Row],[Quantité corrigé]]*Table1[[#This Row],[Prix_Unitaire_HT]]</f>
        <v>55.84</v>
      </c>
    </row>
    <row r="965" spans="1:9" x14ac:dyDescent="0.25">
      <c r="A965" t="s">
        <v>1266</v>
      </c>
      <c r="B965" t="s">
        <v>1264</v>
      </c>
      <c r="C965" s="2" t="str">
        <f t="shared" si="18"/>
        <v>octobre</v>
      </c>
      <c r="D965" t="s">
        <v>69</v>
      </c>
      <c r="E965" t="s">
        <v>1585</v>
      </c>
      <c r="F965">
        <v>8</v>
      </c>
      <c r="G965" t="s">
        <v>39</v>
      </c>
      <c r="H965">
        <v>5.74</v>
      </c>
      <c r="I965">
        <f>Table1[[#This Row],[Quantité corrigé]]*Table1[[#This Row],[Prix_Unitaire_HT]]</f>
        <v>45.92</v>
      </c>
    </row>
    <row r="966" spans="1:9" x14ac:dyDescent="0.25">
      <c r="A966" t="s">
        <v>1267</v>
      </c>
      <c r="B966" t="s">
        <v>1264</v>
      </c>
      <c r="C966" s="2" t="str">
        <f t="shared" si="18"/>
        <v>octobre</v>
      </c>
      <c r="D966" t="s">
        <v>69</v>
      </c>
      <c r="E966" t="s">
        <v>1586</v>
      </c>
      <c r="F966">
        <v>8</v>
      </c>
      <c r="G966" t="s">
        <v>43</v>
      </c>
      <c r="H966">
        <v>3.87</v>
      </c>
      <c r="I966">
        <f>Table1[[#This Row],[Quantité corrigé]]*Table1[[#This Row],[Prix_Unitaire_HT]]</f>
        <v>30.96</v>
      </c>
    </row>
    <row r="967" spans="1:9" x14ac:dyDescent="0.25">
      <c r="A967" t="s">
        <v>1268</v>
      </c>
      <c r="B967" t="s">
        <v>1269</v>
      </c>
      <c r="C967" s="2" t="str">
        <f t="shared" si="18"/>
        <v>octobre</v>
      </c>
      <c r="D967" t="s">
        <v>195</v>
      </c>
      <c r="E967" t="s">
        <v>1588</v>
      </c>
      <c r="F967">
        <v>10</v>
      </c>
      <c r="G967" t="s">
        <v>17</v>
      </c>
      <c r="H967">
        <v>9.58</v>
      </c>
      <c r="I967">
        <f>Table1[[#This Row],[Quantité corrigé]]*Table1[[#This Row],[Prix_Unitaire_HT]]</f>
        <v>95.8</v>
      </c>
    </row>
    <row r="968" spans="1:9" x14ac:dyDescent="0.25">
      <c r="A968" t="s">
        <v>1270</v>
      </c>
      <c r="B968" t="s">
        <v>1271</v>
      </c>
      <c r="C968" s="2" t="str">
        <f t="shared" si="18"/>
        <v>octobre</v>
      </c>
      <c r="D968" t="s">
        <v>61</v>
      </c>
      <c r="E968" t="s">
        <v>1577</v>
      </c>
      <c r="F968">
        <v>5</v>
      </c>
      <c r="G968" t="s">
        <v>11</v>
      </c>
      <c r="H968">
        <v>14.84</v>
      </c>
      <c r="I968">
        <f>Table1[[#This Row],[Quantité corrigé]]*Table1[[#This Row],[Prix_Unitaire_HT]]</f>
        <v>74.2</v>
      </c>
    </row>
    <row r="969" spans="1:9" x14ac:dyDescent="0.25">
      <c r="A969" t="s">
        <v>1272</v>
      </c>
      <c r="B969" t="s">
        <v>1271</v>
      </c>
      <c r="C969" s="2" t="str">
        <f t="shared" si="18"/>
        <v>octobre</v>
      </c>
      <c r="D969" t="s">
        <v>61</v>
      </c>
      <c r="E969" t="s">
        <v>1578</v>
      </c>
      <c r="F969">
        <v>6</v>
      </c>
      <c r="G969" t="s">
        <v>11</v>
      </c>
      <c r="H969">
        <v>13.93</v>
      </c>
      <c r="I969">
        <f>Table1[[#This Row],[Quantité corrigé]]*Table1[[#This Row],[Prix_Unitaire_HT]]</f>
        <v>83.58</v>
      </c>
    </row>
    <row r="970" spans="1:9" x14ac:dyDescent="0.25">
      <c r="A970" t="s">
        <v>1273</v>
      </c>
      <c r="B970" t="s">
        <v>1271</v>
      </c>
      <c r="C970" s="2" t="str">
        <f t="shared" si="18"/>
        <v>octobre</v>
      </c>
      <c r="D970" t="s">
        <v>61</v>
      </c>
      <c r="E970" t="s">
        <v>1579</v>
      </c>
      <c r="F970">
        <v>3</v>
      </c>
      <c r="G970" t="s">
        <v>17</v>
      </c>
      <c r="H970">
        <v>1.19</v>
      </c>
      <c r="I970">
        <f>Table1[[#This Row],[Quantité corrigé]]*Table1[[#This Row],[Prix_Unitaire_HT]]</f>
        <v>3.57</v>
      </c>
    </row>
    <row r="971" spans="1:9" x14ac:dyDescent="0.25">
      <c r="A971" t="s">
        <v>1274</v>
      </c>
      <c r="B971" t="s">
        <v>1271</v>
      </c>
      <c r="C971" s="2" t="str">
        <f t="shared" si="18"/>
        <v>octobre</v>
      </c>
      <c r="D971" t="s">
        <v>19</v>
      </c>
      <c r="E971" t="s">
        <v>1580</v>
      </c>
      <c r="F971">
        <v>10</v>
      </c>
      <c r="G971" t="s">
        <v>21</v>
      </c>
      <c r="H971">
        <v>4.16</v>
      </c>
      <c r="I971">
        <f>Table1[[#This Row],[Quantité corrigé]]*Table1[[#This Row],[Prix_Unitaire_HT]]</f>
        <v>41.6</v>
      </c>
    </row>
    <row r="972" spans="1:9" x14ac:dyDescent="0.25">
      <c r="A972" t="s">
        <v>1275</v>
      </c>
      <c r="B972" t="s">
        <v>1271</v>
      </c>
      <c r="C972" s="2" t="str">
        <f t="shared" si="18"/>
        <v>octobre</v>
      </c>
      <c r="D972" t="s">
        <v>19</v>
      </c>
      <c r="E972" t="s">
        <v>1581</v>
      </c>
      <c r="F972">
        <v>6</v>
      </c>
      <c r="G972" t="s">
        <v>25</v>
      </c>
      <c r="H972">
        <v>22.88</v>
      </c>
      <c r="I972">
        <f>Table1[[#This Row],[Quantité corrigé]]*Table1[[#This Row],[Prix_Unitaire_HT]]</f>
        <v>137.28</v>
      </c>
    </row>
    <row r="973" spans="1:9" x14ac:dyDescent="0.25">
      <c r="A973" t="s">
        <v>1276</v>
      </c>
      <c r="B973" t="s">
        <v>1271</v>
      </c>
      <c r="C973" s="2" t="str">
        <f t="shared" si="18"/>
        <v>octobre</v>
      </c>
      <c r="D973" t="s">
        <v>19</v>
      </c>
      <c r="E973" t="s">
        <v>1582</v>
      </c>
      <c r="F973">
        <v>10</v>
      </c>
      <c r="G973" t="s">
        <v>29</v>
      </c>
      <c r="H973">
        <v>10.34</v>
      </c>
      <c r="I973">
        <f>Table1[[#This Row],[Quantité corrigé]]*Table1[[#This Row],[Prix_Unitaire_HT]]</f>
        <v>103.4</v>
      </c>
    </row>
    <row r="974" spans="1:9" x14ac:dyDescent="0.25">
      <c r="A974" t="s">
        <v>1277</v>
      </c>
      <c r="B974" t="s">
        <v>1278</v>
      </c>
      <c r="C974" s="2" t="str">
        <f t="shared" si="18"/>
        <v>octobre</v>
      </c>
      <c r="D974" t="s">
        <v>66</v>
      </c>
      <c r="E974" t="s">
        <v>1583</v>
      </c>
      <c r="F974">
        <v>6</v>
      </c>
      <c r="G974" t="s">
        <v>17</v>
      </c>
      <c r="H974">
        <v>8.92</v>
      </c>
      <c r="I974">
        <f>Table1[[#This Row],[Quantité corrigé]]*Table1[[#This Row],[Prix_Unitaire_HT]]</f>
        <v>53.519999999999996</v>
      </c>
    </row>
    <row r="975" spans="1:9" x14ac:dyDescent="0.25">
      <c r="A975" t="s">
        <v>1279</v>
      </c>
      <c r="B975" t="s">
        <v>1278</v>
      </c>
      <c r="C975" s="2" t="str">
        <f t="shared" si="18"/>
        <v>octobre</v>
      </c>
      <c r="D975" t="s">
        <v>66</v>
      </c>
      <c r="E975" t="s">
        <v>1584</v>
      </c>
      <c r="F975">
        <v>8</v>
      </c>
      <c r="G975" t="s">
        <v>17</v>
      </c>
      <c r="H975">
        <v>6.94</v>
      </c>
      <c r="I975">
        <f>Table1[[#This Row],[Quantité corrigé]]*Table1[[#This Row],[Prix_Unitaire_HT]]</f>
        <v>55.52</v>
      </c>
    </row>
    <row r="976" spans="1:9" x14ac:dyDescent="0.25">
      <c r="A976" t="s">
        <v>1280</v>
      </c>
      <c r="B976" t="s">
        <v>1278</v>
      </c>
      <c r="C976" s="2" t="str">
        <f t="shared" si="18"/>
        <v>octobre</v>
      </c>
      <c r="D976" t="s">
        <v>69</v>
      </c>
      <c r="E976" t="s">
        <v>1585</v>
      </c>
      <c r="F976">
        <v>12</v>
      </c>
      <c r="G976" t="s">
        <v>39</v>
      </c>
      <c r="H976">
        <v>5.99</v>
      </c>
      <c r="I976">
        <f>Table1[[#This Row],[Quantité corrigé]]*Table1[[#This Row],[Prix_Unitaire_HT]]</f>
        <v>71.88</v>
      </c>
    </row>
    <row r="977" spans="1:9" x14ac:dyDescent="0.25">
      <c r="A977" t="s">
        <v>1281</v>
      </c>
      <c r="B977" t="s">
        <v>1278</v>
      </c>
      <c r="C977" s="2" t="str">
        <f t="shared" si="18"/>
        <v>octobre</v>
      </c>
      <c r="D977" t="s">
        <v>69</v>
      </c>
      <c r="E977" t="s">
        <v>1586</v>
      </c>
      <c r="F977">
        <v>5</v>
      </c>
      <c r="G977" t="s">
        <v>43</v>
      </c>
      <c r="H977">
        <v>3.94</v>
      </c>
      <c r="I977">
        <f>Table1[[#This Row],[Quantité corrigé]]*Table1[[#This Row],[Prix_Unitaire_HT]]</f>
        <v>19.7</v>
      </c>
    </row>
    <row r="978" spans="1:9" x14ac:dyDescent="0.25">
      <c r="A978" t="s">
        <v>1282</v>
      </c>
      <c r="B978" t="s">
        <v>1283</v>
      </c>
      <c r="C978" s="2" t="str">
        <f t="shared" si="18"/>
        <v>octobre</v>
      </c>
      <c r="D978" t="s">
        <v>19</v>
      </c>
      <c r="E978" t="s">
        <v>1580</v>
      </c>
      <c r="F978">
        <v>6</v>
      </c>
      <c r="G978" t="s">
        <v>21</v>
      </c>
      <c r="H978">
        <v>4.45</v>
      </c>
      <c r="I978">
        <f>Table1[[#This Row],[Quantité corrigé]]*Table1[[#This Row],[Prix_Unitaire_HT]]</f>
        <v>26.700000000000003</v>
      </c>
    </row>
    <row r="979" spans="1:9" x14ac:dyDescent="0.25">
      <c r="A979" t="s">
        <v>1284</v>
      </c>
      <c r="B979" t="s">
        <v>1283</v>
      </c>
      <c r="C979" s="2" t="str">
        <f t="shared" si="18"/>
        <v>octobre</v>
      </c>
      <c r="D979" t="s">
        <v>19</v>
      </c>
      <c r="E979" t="s">
        <v>1581</v>
      </c>
      <c r="F979">
        <v>4</v>
      </c>
      <c r="G979" t="s">
        <v>25</v>
      </c>
      <c r="H979">
        <v>21.65</v>
      </c>
      <c r="I979">
        <f>Table1[[#This Row],[Quantité corrigé]]*Table1[[#This Row],[Prix_Unitaire_HT]]</f>
        <v>86.6</v>
      </c>
    </row>
    <row r="980" spans="1:9" x14ac:dyDescent="0.25">
      <c r="A980" t="s">
        <v>1285</v>
      </c>
      <c r="B980" t="s">
        <v>1283</v>
      </c>
      <c r="C980" s="2" t="str">
        <f t="shared" si="18"/>
        <v>octobre</v>
      </c>
      <c r="D980" t="s">
        <v>19</v>
      </c>
      <c r="E980" t="s">
        <v>1582</v>
      </c>
      <c r="F980">
        <v>4</v>
      </c>
      <c r="G980" t="s">
        <v>29</v>
      </c>
      <c r="H980">
        <v>10.39</v>
      </c>
      <c r="I980">
        <f>Table1[[#This Row],[Quantité corrigé]]*Table1[[#This Row],[Prix_Unitaire_HT]]</f>
        <v>41.56</v>
      </c>
    </row>
    <row r="981" spans="1:9" x14ac:dyDescent="0.25">
      <c r="A981" t="s">
        <v>1286</v>
      </c>
      <c r="B981" t="s">
        <v>1283</v>
      </c>
      <c r="C981" s="2" t="str">
        <f t="shared" si="18"/>
        <v>octobre</v>
      </c>
      <c r="D981" t="s">
        <v>50</v>
      </c>
      <c r="E981" t="s">
        <v>1587</v>
      </c>
      <c r="F981">
        <v>2</v>
      </c>
      <c r="G981" t="s">
        <v>52</v>
      </c>
      <c r="H981">
        <v>19.04</v>
      </c>
      <c r="I981">
        <f>Table1[[#This Row],[Quantité corrigé]]*Table1[[#This Row],[Prix_Unitaire_HT]]</f>
        <v>38.08</v>
      </c>
    </row>
    <row r="982" spans="1:9" x14ac:dyDescent="0.25">
      <c r="A982" t="s">
        <v>1287</v>
      </c>
      <c r="B982" t="s">
        <v>1283</v>
      </c>
      <c r="C982" s="2" t="str">
        <f t="shared" si="18"/>
        <v>octobre</v>
      </c>
      <c r="D982" t="s">
        <v>195</v>
      </c>
      <c r="E982" t="s">
        <v>1588</v>
      </c>
      <c r="F982">
        <v>10</v>
      </c>
      <c r="G982" t="s">
        <v>17</v>
      </c>
      <c r="H982">
        <v>9.14</v>
      </c>
      <c r="I982">
        <f>Table1[[#This Row],[Quantité corrigé]]*Table1[[#This Row],[Prix_Unitaire_HT]]</f>
        <v>91.4</v>
      </c>
    </row>
    <row r="983" spans="1:9" x14ac:dyDescent="0.25">
      <c r="A983" t="s">
        <v>1288</v>
      </c>
      <c r="B983" t="s">
        <v>1289</v>
      </c>
      <c r="C983" s="2" t="str">
        <f t="shared" si="18"/>
        <v>octobre</v>
      </c>
      <c r="D983" t="s">
        <v>61</v>
      </c>
      <c r="E983" t="s">
        <v>1577</v>
      </c>
      <c r="F983">
        <v>5</v>
      </c>
      <c r="G983" t="s">
        <v>11</v>
      </c>
      <c r="H983">
        <v>14.48</v>
      </c>
      <c r="I983">
        <f>Table1[[#This Row],[Quantité corrigé]]*Table1[[#This Row],[Prix_Unitaire_HT]]</f>
        <v>72.400000000000006</v>
      </c>
    </row>
    <row r="984" spans="1:9" x14ac:dyDescent="0.25">
      <c r="A984" t="s">
        <v>1290</v>
      </c>
      <c r="B984" t="s">
        <v>1289</v>
      </c>
      <c r="C984" s="2" t="str">
        <f t="shared" si="18"/>
        <v>octobre</v>
      </c>
      <c r="D984" t="s">
        <v>61</v>
      </c>
      <c r="E984" t="s">
        <v>1578</v>
      </c>
      <c r="F984">
        <v>5</v>
      </c>
      <c r="G984" t="s">
        <v>11</v>
      </c>
      <c r="H984">
        <v>12.96</v>
      </c>
      <c r="I984">
        <f>Table1[[#This Row],[Quantité corrigé]]*Table1[[#This Row],[Prix_Unitaire_HT]]</f>
        <v>64.800000000000011</v>
      </c>
    </row>
    <row r="985" spans="1:9" x14ac:dyDescent="0.25">
      <c r="A985" t="s">
        <v>1291</v>
      </c>
      <c r="B985" t="s">
        <v>1289</v>
      </c>
      <c r="C985" s="2" t="str">
        <f t="shared" si="18"/>
        <v>octobre</v>
      </c>
      <c r="D985" t="s">
        <v>61</v>
      </c>
      <c r="E985" t="s">
        <v>1579</v>
      </c>
      <c r="F985">
        <v>6</v>
      </c>
      <c r="G985" t="s">
        <v>17</v>
      </c>
      <c r="H985">
        <v>1.2</v>
      </c>
      <c r="I985">
        <f>Table1[[#This Row],[Quantité corrigé]]*Table1[[#This Row],[Prix_Unitaire_HT]]</f>
        <v>7.1999999999999993</v>
      </c>
    </row>
    <row r="986" spans="1:9" x14ac:dyDescent="0.25">
      <c r="A986" t="s">
        <v>1292</v>
      </c>
      <c r="B986" t="s">
        <v>1293</v>
      </c>
      <c r="C986" s="2" t="str">
        <f t="shared" si="18"/>
        <v>octobre</v>
      </c>
      <c r="D986" t="s">
        <v>66</v>
      </c>
      <c r="E986" t="s">
        <v>1583</v>
      </c>
      <c r="F986">
        <v>12</v>
      </c>
      <c r="G986" t="s">
        <v>17</v>
      </c>
      <c r="H986">
        <v>10.29</v>
      </c>
      <c r="I986">
        <f>Table1[[#This Row],[Quantité corrigé]]*Table1[[#This Row],[Prix_Unitaire_HT]]</f>
        <v>123.47999999999999</v>
      </c>
    </row>
    <row r="987" spans="1:9" x14ac:dyDescent="0.25">
      <c r="A987" t="s">
        <v>1294</v>
      </c>
      <c r="B987" t="s">
        <v>1293</v>
      </c>
      <c r="C987" s="2" t="str">
        <f t="shared" si="18"/>
        <v>octobre</v>
      </c>
      <c r="D987" t="s">
        <v>66</v>
      </c>
      <c r="E987" t="s">
        <v>1584</v>
      </c>
      <c r="F987">
        <v>6</v>
      </c>
      <c r="G987" t="s">
        <v>17</v>
      </c>
      <c r="H987">
        <v>7.14</v>
      </c>
      <c r="I987">
        <f>Table1[[#This Row],[Quantité corrigé]]*Table1[[#This Row],[Prix_Unitaire_HT]]</f>
        <v>42.839999999999996</v>
      </c>
    </row>
    <row r="988" spans="1:9" x14ac:dyDescent="0.25">
      <c r="A988" t="s">
        <v>1295</v>
      </c>
      <c r="B988" t="s">
        <v>1293</v>
      </c>
      <c r="C988" s="2" t="str">
        <f t="shared" si="18"/>
        <v>octobre</v>
      </c>
      <c r="D988" t="s">
        <v>69</v>
      </c>
      <c r="E988" t="s">
        <v>1585</v>
      </c>
      <c r="F988">
        <v>12</v>
      </c>
      <c r="G988" t="s">
        <v>39</v>
      </c>
      <c r="H988">
        <v>5.94</v>
      </c>
      <c r="I988">
        <f>Table1[[#This Row],[Quantité corrigé]]*Table1[[#This Row],[Prix_Unitaire_HT]]</f>
        <v>71.28</v>
      </c>
    </row>
    <row r="989" spans="1:9" x14ac:dyDescent="0.25">
      <c r="A989" t="s">
        <v>1296</v>
      </c>
      <c r="B989" t="s">
        <v>1293</v>
      </c>
      <c r="C989" s="2" t="str">
        <f t="shared" si="18"/>
        <v>octobre</v>
      </c>
      <c r="D989" t="s">
        <v>69</v>
      </c>
      <c r="E989" t="s">
        <v>1586</v>
      </c>
      <c r="F989">
        <v>12</v>
      </c>
      <c r="G989" t="s">
        <v>43</v>
      </c>
      <c r="H989">
        <v>3.87</v>
      </c>
      <c r="I989">
        <f>Table1[[#This Row],[Quantité corrigé]]*Table1[[#This Row],[Prix_Unitaire_HT]]</f>
        <v>46.44</v>
      </c>
    </row>
    <row r="990" spans="1:9" x14ac:dyDescent="0.25">
      <c r="A990" t="s">
        <v>1297</v>
      </c>
      <c r="B990" t="s">
        <v>1298</v>
      </c>
      <c r="C990" s="2" t="str">
        <f t="shared" si="18"/>
        <v>octobre</v>
      </c>
      <c r="D990" t="s">
        <v>195</v>
      </c>
      <c r="E990" t="s">
        <v>1588</v>
      </c>
      <c r="F990">
        <v>4</v>
      </c>
      <c r="G990" t="s">
        <v>17</v>
      </c>
      <c r="H990">
        <v>8.89</v>
      </c>
      <c r="I990">
        <f>Table1[[#This Row],[Quantité corrigé]]*Table1[[#This Row],[Prix_Unitaire_HT]]</f>
        <v>35.56</v>
      </c>
    </row>
    <row r="991" spans="1:9" x14ac:dyDescent="0.25">
      <c r="A991" t="s">
        <v>1299</v>
      </c>
      <c r="B991" t="s">
        <v>1300</v>
      </c>
      <c r="C991" s="2" t="str">
        <f t="shared" si="18"/>
        <v>octobre</v>
      </c>
      <c r="D991" t="s">
        <v>61</v>
      </c>
      <c r="E991" t="s">
        <v>1577</v>
      </c>
      <c r="F991">
        <v>5</v>
      </c>
      <c r="G991" t="s">
        <v>11</v>
      </c>
      <c r="H991">
        <v>14.47</v>
      </c>
      <c r="I991">
        <f>Table1[[#This Row],[Quantité corrigé]]*Table1[[#This Row],[Prix_Unitaire_HT]]</f>
        <v>72.350000000000009</v>
      </c>
    </row>
    <row r="992" spans="1:9" x14ac:dyDescent="0.25">
      <c r="A992" t="s">
        <v>1301</v>
      </c>
      <c r="B992" t="s">
        <v>1300</v>
      </c>
      <c r="C992" s="2" t="str">
        <f t="shared" si="18"/>
        <v>octobre</v>
      </c>
      <c r="D992" t="s">
        <v>61</v>
      </c>
      <c r="E992" t="s">
        <v>1578</v>
      </c>
      <c r="F992">
        <v>3</v>
      </c>
      <c r="G992" t="s">
        <v>11</v>
      </c>
      <c r="H992">
        <v>13.97</v>
      </c>
      <c r="I992">
        <f>Table1[[#This Row],[Quantité corrigé]]*Table1[[#This Row],[Prix_Unitaire_HT]]</f>
        <v>41.910000000000004</v>
      </c>
    </row>
    <row r="993" spans="1:9" x14ac:dyDescent="0.25">
      <c r="A993" t="s">
        <v>1302</v>
      </c>
      <c r="B993" t="s">
        <v>1300</v>
      </c>
      <c r="C993" s="2" t="str">
        <f t="shared" si="18"/>
        <v>octobre</v>
      </c>
      <c r="D993" t="s">
        <v>61</v>
      </c>
      <c r="E993" t="s">
        <v>1579</v>
      </c>
      <c r="F993">
        <v>5</v>
      </c>
      <c r="G993" t="s">
        <v>17</v>
      </c>
      <c r="H993">
        <v>1.25</v>
      </c>
      <c r="I993">
        <f>Table1[[#This Row],[Quantité corrigé]]*Table1[[#This Row],[Prix_Unitaire_HT]]</f>
        <v>6.25</v>
      </c>
    </row>
    <row r="994" spans="1:9" x14ac:dyDescent="0.25">
      <c r="A994" t="s">
        <v>1303</v>
      </c>
      <c r="B994" t="s">
        <v>1300</v>
      </c>
      <c r="C994" s="2" t="str">
        <f t="shared" si="18"/>
        <v>octobre</v>
      </c>
      <c r="D994" t="s">
        <v>19</v>
      </c>
      <c r="E994" t="s">
        <v>1580</v>
      </c>
      <c r="F994">
        <v>10</v>
      </c>
      <c r="G994" t="s">
        <v>21</v>
      </c>
      <c r="H994">
        <v>4.2</v>
      </c>
      <c r="I994">
        <f>Table1[[#This Row],[Quantité corrigé]]*Table1[[#This Row],[Prix_Unitaire_HT]]</f>
        <v>42</v>
      </c>
    </row>
    <row r="995" spans="1:9" x14ac:dyDescent="0.25">
      <c r="A995" t="s">
        <v>1304</v>
      </c>
      <c r="B995" t="s">
        <v>1300</v>
      </c>
      <c r="C995" s="2" t="str">
        <f t="shared" si="18"/>
        <v>octobre</v>
      </c>
      <c r="D995" t="s">
        <v>19</v>
      </c>
      <c r="E995" t="s">
        <v>1581</v>
      </c>
      <c r="F995">
        <v>10</v>
      </c>
      <c r="G995" t="s">
        <v>25</v>
      </c>
      <c r="H995">
        <v>22.38</v>
      </c>
      <c r="I995">
        <f>Table1[[#This Row],[Quantité corrigé]]*Table1[[#This Row],[Prix_Unitaire_HT]]</f>
        <v>223.79999999999998</v>
      </c>
    </row>
    <row r="996" spans="1:9" x14ac:dyDescent="0.25">
      <c r="A996" t="s">
        <v>1305</v>
      </c>
      <c r="B996" t="s">
        <v>1300</v>
      </c>
      <c r="C996" s="2" t="str">
        <f t="shared" si="18"/>
        <v>octobre</v>
      </c>
      <c r="D996" t="s">
        <v>19</v>
      </c>
      <c r="E996" t="s">
        <v>1582</v>
      </c>
      <c r="F996">
        <v>8</v>
      </c>
      <c r="G996" t="s">
        <v>29</v>
      </c>
      <c r="H996">
        <v>9.9700000000000006</v>
      </c>
      <c r="I996">
        <f>Table1[[#This Row],[Quantité corrigé]]*Table1[[#This Row],[Prix_Unitaire_HT]]</f>
        <v>79.760000000000005</v>
      </c>
    </row>
    <row r="997" spans="1:9" x14ac:dyDescent="0.25">
      <c r="A997" t="s">
        <v>1306</v>
      </c>
      <c r="B997" t="s">
        <v>1307</v>
      </c>
      <c r="C997" s="2" t="str">
        <f t="shared" si="18"/>
        <v>octobre</v>
      </c>
      <c r="D997" t="s">
        <v>66</v>
      </c>
      <c r="E997" t="s">
        <v>1583</v>
      </c>
      <c r="F997">
        <v>10</v>
      </c>
      <c r="G997" t="s">
        <v>17</v>
      </c>
      <c r="H997">
        <v>9.4700000000000006</v>
      </c>
      <c r="I997">
        <f>Table1[[#This Row],[Quantité corrigé]]*Table1[[#This Row],[Prix_Unitaire_HT]]</f>
        <v>94.7</v>
      </c>
    </row>
    <row r="998" spans="1:9" x14ac:dyDescent="0.25">
      <c r="A998" t="s">
        <v>1308</v>
      </c>
      <c r="B998" t="s">
        <v>1307</v>
      </c>
      <c r="C998" s="2" t="str">
        <f t="shared" si="18"/>
        <v>octobre</v>
      </c>
      <c r="D998" t="s">
        <v>66</v>
      </c>
      <c r="E998" t="s">
        <v>1584</v>
      </c>
      <c r="F998">
        <v>6</v>
      </c>
      <c r="G998" t="s">
        <v>17</v>
      </c>
      <c r="H998">
        <v>7.2</v>
      </c>
      <c r="I998">
        <f>Table1[[#This Row],[Quantité corrigé]]*Table1[[#This Row],[Prix_Unitaire_HT]]</f>
        <v>43.2</v>
      </c>
    </row>
    <row r="999" spans="1:9" x14ac:dyDescent="0.25">
      <c r="A999" t="s">
        <v>1309</v>
      </c>
      <c r="B999" t="s">
        <v>1307</v>
      </c>
      <c r="C999" s="2" t="str">
        <f t="shared" si="18"/>
        <v>octobre</v>
      </c>
      <c r="D999" t="s">
        <v>69</v>
      </c>
      <c r="E999" t="s">
        <v>1585</v>
      </c>
      <c r="F999">
        <v>10</v>
      </c>
      <c r="G999" t="s">
        <v>39</v>
      </c>
      <c r="H999">
        <v>5.71</v>
      </c>
      <c r="I999">
        <f>Table1[[#This Row],[Quantité corrigé]]*Table1[[#This Row],[Prix_Unitaire_HT]]</f>
        <v>57.1</v>
      </c>
    </row>
    <row r="1000" spans="1:9" x14ac:dyDescent="0.25">
      <c r="A1000" t="s">
        <v>1310</v>
      </c>
      <c r="B1000" t="s">
        <v>1307</v>
      </c>
      <c r="C1000" s="2" t="str">
        <f t="shared" si="18"/>
        <v>octobre</v>
      </c>
      <c r="D1000" t="s">
        <v>69</v>
      </c>
      <c r="E1000" t="s">
        <v>1586</v>
      </c>
      <c r="F1000">
        <v>5</v>
      </c>
      <c r="G1000" t="s">
        <v>43</v>
      </c>
      <c r="H1000">
        <v>3.86</v>
      </c>
      <c r="I1000">
        <f>Table1[[#This Row],[Quantité corrigé]]*Table1[[#This Row],[Prix_Unitaire_HT]]</f>
        <v>19.3</v>
      </c>
    </row>
    <row r="1001" spans="1:9" x14ac:dyDescent="0.25">
      <c r="A1001" t="s">
        <v>1311</v>
      </c>
      <c r="B1001" t="s">
        <v>1312</v>
      </c>
      <c r="C1001" s="2" t="str">
        <f t="shared" si="18"/>
        <v>octobre</v>
      </c>
      <c r="D1001" t="s">
        <v>19</v>
      </c>
      <c r="E1001" t="s">
        <v>1580</v>
      </c>
      <c r="F1001">
        <v>4</v>
      </c>
      <c r="G1001" t="s">
        <v>21</v>
      </c>
      <c r="H1001">
        <v>4.43</v>
      </c>
      <c r="I1001">
        <f>Table1[[#This Row],[Quantité corrigé]]*Table1[[#This Row],[Prix_Unitaire_HT]]</f>
        <v>17.72</v>
      </c>
    </row>
    <row r="1002" spans="1:9" x14ac:dyDescent="0.25">
      <c r="A1002" t="s">
        <v>1313</v>
      </c>
      <c r="B1002" t="s">
        <v>1312</v>
      </c>
      <c r="C1002" s="2" t="str">
        <f t="shared" si="18"/>
        <v>octobre</v>
      </c>
      <c r="D1002" t="s">
        <v>19</v>
      </c>
      <c r="E1002" t="s">
        <v>1581</v>
      </c>
      <c r="F1002">
        <v>6</v>
      </c>
      <c r="G1002" t="s">
        <v>25</v>
      </c>
      <c r="H1002">
        <v>22.27</v>
      </c>
      <c r="I1002">
        <f>Table1[[#This Row],[Quantité corrigé]]*Table1[[#This Row],[Prix_Unitaire_HT]]</f>
        <v>133.62</v>
      </c>
    </row>
    <row r="1003" spans="1:9" x14ac:dyDescent="0.25">
      <c r="A1003" t="s">
        <v>1314</v>
      </c>
      <c r="B1003" t="s">
        <v>1312</v>
      </c>
      <c r="C1003" s="2" t="str">
        <f t="shared" si="18"/>
        <v>octobre</v>
      </c>
      <c r="D1003" t="s">
        <v>19</v>
      </c>
      <c r="E1003" t="s">
        <v>1582</v>
      </c>
      <c r="F1003">
        <v>4</v>
      </c>
      <c r="G1003" t="s">
        <v>29</v>
      </c>
      <c r="H1003">
        <v>9.34</v>
      </c>
      <c r="I1003">
        <f>Table1[[#This Row],[Quantité corrigé]]*Table1[[#This Row],[Prix_Unitaire_HT]]</f>
        <v>37.36</v>
      </c>
    </row>
    <row r="1004" spans="1:9" x14ac:dyDescent="0.25">
      <c r="A1004" t="s">
        <v>1315</v>
      </c>
      <c r="B1004" t="s">
        <v>1312</v>
      </c>
      <c r="C1004" s="2" t="str">
        <f t="shared" si="18"/>
        <v>octobre</v>
      </c>
      <c r="D1004" t="s">
        <v>50</v>
      </c>
      <c r="E1004" t="s">
        <v>1587</v>
      </c>
      <c r="F1004">
        <v>4</v>
      </c>
      <c r="G1004" t="s">
        <v>52</v>
      </c>
      <c r="H1004">
        <v>17.98</v>
      </c>
      <c r="I1004">
        <f>Table1[[#This Row],[Quantité corrigé]]*Table1[[#This Row],[Prix_Unitaire_HT]]</f>
        <v>71.92</v>
      </c>
    </row>
    <row r="1005" spans="1:9" x14ac:dyDescent="0.25">
      <c r="A1005" t="s">
        <v>1316</v>
      </c>
      <c r="B1005" t="s">
        <v>1312</v>
      </c>
      <c r="C1005" s="2" t="str">
        <f t="shared" si="18"/>
        <v>octobre</v>
      </c>
      <c r="D1005" t="s">
        <v>195</v>
      </c>
      <c r="E1005" t="s">
        <v>1588</v>
      </c>
      <c r="F1005">
        <v>8</v>
      </c>
      <c r="G1005" t="s">
        <v>17</v>
      </c>
      <c r="H1005">
        <v>8.4499999999999993</v>
      </c>
      <c r="I1005">
        <f>Table1[[#This Row],[Quantité corrigé]]*Table1[[#This Row],[Prix_Unitaire_HT]]</f>
        <v>67.599999999999994</v>
      </c>
    </row>
    <row r="1006" spans="1:9" x14ac:dyDescent="0.25">
      <c r="A1006" t="s">
        <v>1317</v>
      </c>
      <c r="B1006" t="s">
        <v>1318</v>
      </c>
      <c r="C1006" s="2" t="str">
        <f t="shared" si="18"/>
        <v>octobre</v>
      </c>
      <c r="D1006" t="s">
        <v>61</v>
      </c>
      <c r="E1006" t="s">
        <v>1577</v>
      </c>
      <c r="F1006">
        <v>6</v>
      </c>
      <c r="G1006" t="s">
        <v>11</v>
      </c>
      <c r="H1006">
        <v>14.74</v>
      </c>
      <c r="I1006">
        <f>Table1[[#This Row],[Quantité corrigé]]*Table1[[#This Row],[Prix_Unitaire_HT]]</f>
        <v>88.44</v>
      </c>
    </row>
    <row r="1007" spans="1:9" x14ac:dyDescent="0.25">
      <c r="A1007" t="s">
        <v>1319</v>
      </c>
      <c r="B1007" t="s">
        <v>1318</v>
      </c>
      <c r="C1007" s="2" t="str">
        <f t="shared" si="18"/>
        <v>octobre</v>
      </c>
      <c r="D1007" t="s">
        <v>61</v>
      </c>
      <c r="E1007" t="s">
        <v>1578</v>
      </c>
      <c r="F1007">
        <v>5</v>
      </c>
      <c r="G1007" t="s">
        <v>11</v>
      </c>
      <c r="H1007">
        <v>13.93</v>
      </c>
      <c r="I1007">
        <f>Table1[[#This Row],[Quantité corrigé]]*Table1[[#This Row],[Prix_Unitaire_HT]]</f>
        <v>69.650000000000006</v>
      </c>
    </row>
    <row r="1008" spans="1:9" x14ac:dyDescent="0.25">
      <c r="A1008" t="s">
        <v>1320</v>
      </c>
      <c r="B1008" t="s">
        <v>1318</v>
      </c>
      <c r="C1008" s="2" t="str">
        <f t="shared" si="18"/>
        <v>octobre</v>
      </c>
      <c r="D1008" t="s">
        <v>61</v>
      </c>
      <c r="E1008" t="s">
        <v>1579</v>
      </c>
      <c r="F1008">
        <v>6</v>
      </c>
      <c r="G1008" t="s">
        <v>17</v>
      </c>
      <c r="H1008">
        <v>1.26</v>
      </c>
      <c r="I1008">
        <f>Table1[[#This Row],[Quantité corrigé]]*Table1[[#This Row],[Prix_Unitaire_HT]]</f>
        <v>7.5600000000000005</v>
      </c>
    </row>
    <row r="1009" spans="1:9" x14ac:dyDescent="0.25">
      <c r="A1009" t="s">
        <v>1321</v>
      </c>
      <c r="B1009" t="s">
        <v>1322</v>
      </c>
      <c r="C1009" s="2" t="str">
        <f t="shared" si="18"/>
        <v>novembre</v>
      </c>
      <c r="D1009" t="s">
        <v>66</v>
      </c>
      <c r="E1009" t="s">
        <v>1583</v>
      </c>
      <c r="F1009">
        <v>12</v>
      </c>
      <c r="G1009" t="s">
        <v>17</v>
      </c>
      <c r="H1009">
        <v>9.73</v>
      </c>
      <c r="I1009">
        <f>Table1[[#This Row],[Quantité corrigé]]*Table1[[#This Row],[Prix_Unitaire_HT]]</f>
        <v>116.76</v>
      </c>
    </row>
    <row r="1010" spans="1:9" x14ac:dyDescent="0.25">
      <c r="A1010" t="s">
        <v>1323</v>
      </c>
      <c r="B1010" t="s">
        <v>1322</v>
      </c>
      <c r="C1010" s="2" t="str">
        <f t="shared" si="18"/>
        <v>novembre</v>
      </c>
      <c r="D1010" t="s">
        <v>66</v>
      </c>
      <c r="E1010" t="s">
        <v>1584</v>
      </c>
      <c r="F1010">
        <v>12</v>
      </c>
      <c r="G1010" t="s">
        <v>17</v>
      </c>
      <c r="H1010">
        <v>7.34</v>
      </c>
      <c r="I1010">
        <f>Table1[[#This Row],[Quantité corrigé]]*Table1[[#This Row],[Prix_Unitaire_HT]]</f>
        <v>88.08</v>
      </c>
    </row>
    <row r="1011" spans="1:9" x14ac:dyDescent="0.25">
      <c r="A1011" t="s">
        <v>1324</v>
      </c>
      <c r="B1011" t="s">
        <v>1322</v>
      </c>
      <c r="C1011" s="2" t="str">
        <f t="shared" si="18"/>
        <v>novembre</v>
      </c>
      <c r="D1011" t="s">
        <v>69</v>
      </c>
      <c r="E1011" t="s">
        <v>1585</v>
      </c>
      <c r="F1011">
        <v>5</v>
      </c>
      <c r="G1011" t="s">
        <v>39</v>
      </c>
      <c r="H1011">
        <v>6</v>
      </c>
      <c r="I1011">
        <f>Table1[[#This Row],[Quantité corrigé]]*Table1[[#This Row],[Prix_Unitaire_HT]]</f>
        <v>30</v>
      </c>
    </row>
    <row r="1012" spans="1:9" x14ac:dyDescent="0.25">
      <c r="A1012" t="s">
        <v>1325</v>
      </c>
      <c r="B1012" t="s">
        <v>1322</v>
      </c>
      <c r="C1012" s="2" t="str">
        <f t="shared" si="18"/>
        <v>novembre</v>
      </c>
      <c r="D1012" t="s">
        <v>69</v>
      </c>
      <c r="E1012" t="s">
        <v>1586</v>
      </c>
      <c r="F1012">
        <v>5</v>
      </c>
      <c r="G1012" t="s">
        <v>43</v>
      </c>
      <c r="H1012">
        <v>3.85</v>
      </c>
      <c r="I1012">
        <f>Table1[[#This Row],[Quantité corrigé]]*Table1[[#This Row],[Prix_Unitaire_HT]]</f>
        <v>19.25</v>
      </c>
    </row>
    <row r="1013" spans="1:9" x14ac:dyDescent="0.25">
      <c r="A1013" t="s">
        <v>1326</v>
      </c>
      <c r="B1013" t="s">
        <v>1327</v>
      </c>
      <c r="C1013" s="2" t="str">
        <f t="shared" si="18"/>
        <v>novembre</v>
      </c>
      <c r="D1013" t="s">
        <v>195</v>
      </c>
      <c r="E1013" t="s">
        <v>1588</v>
      </c>
      <c r="F1013">
        <v>4</v>
      </c>
      <c r="G1013" t="s">
        <v>17</v>
      </c>
      <c r="H1013">
        <v>9.5399999999999991</v>
      </c>
      <c r="I1013">
        <f>Table1[[#This Row],[Quantité corrigé]]*Table1[[#This Row],[Prix_Unitaire_HT]]</f>
        <v>38.159999999999997</v>
      </c>
    </row>
    <row r="1014" spans="1:9" x14ac:dyDescent="0.25">
      <c r="A1014" t="s">
        <v>1328</v>
      </c>
      <c r="B1014" t="s">
        <v>1329</v>
      </c>
      <c r="C1014" s="2" t="str">
        <f t="shared" si="18"/>
        <v>novembre</v>
      </c>
      <c r="D1014" t="s">
        <v>61</v>
      </c>
      <c r="E1014" t="s">
        <v>1577</v>
      </c>
      <c r="F1014">
        <v>3</v>
      </c>
      <c r="G1014" t="s">
        <v>11</v>
      </c>
      <c r="H1014">
        <v>15.11</v>
      </c>
      <c r="I1014">
        <f>Table1[[#This Row],[Quantité corrigé]]*Table1[[#This Row],[Prix_Unitaire_HT]]</f>
        <v>45.33</v>
      </c>
    </row>
    <row r="1015" spans="1:9" x14ac:dyDescent="0.25">
      <c r="A1015" t="s">
        <v>1330</v>
      </c>
      <c r="B1015" t="s">
        <v>1329</v>
      </c>
      <c r="C1015" s="2" t="str">
        <f t="shared" si="18"/>
        <v>novembre</v>
      </c>
      <c r="D1015" t="s">
        <v>61</v>
      </c>
      <c r="E1015" t="s">
        <v>1578</v>
      </c>
      <c r="F1015">
        <v>3</v>
      </c>
      <c r="G1015" t="s">
        <v>11</v>
      </c>
      <c r="H1015">
        <v>13.38</v>
      </c>
      <c r="I1015">
        <f>Table1[[#This Row],[Quantité corrigé]]*Table1[[#This Row],[Prix_Unitaire_HT]]</f>
        <v>40.14</v>
      </c>
    </row>
    <row r="1016" spans="1:9" x14ac:dyDescent="0.25">
      <c r="A1016" t="s">
        <v>1331</v>
      </c>
      <c r="B1016" t="s">
        <v>1329</v>
      </c>
      <c r="C1016" s="2" t="str">
        <f t="shared" si="18"/>
        <v>novembre</v>
      </c>
      <c r="D1016" t="s">
        <v>61</v>
      </c>
      <c r="E1016" t="s">
        <v>1579</v>
      </c>
      <c r="F1016">
        <v>3</v>
      </c>
      <c r="G1016" t="s">
        <v>17</v>
      </c>
      <c r="H1016">
        <v>1.26</v>
      </c>
      <c r="I1016">
        <f>Table1[[#This Row],[Quantité corrigé]]*Table1[[#This Row],[Prix_Unitaire_HT]]</f>
        <v>3.7800000000000002</v>
      </c>
    </row>
    <row r="1017" spans="1:9" x14ac:dyDescent="0.25">
      <c r="A1017" t="s">
        <v>1332</v>
      </c>
      <c r="B1017" t="s">
        <v>1329</v>
      </c>
      <c r="C1017" s="2" t="str">
        <f t="shared" si="18"/>
        <v>novembre</v>
      </c>
      <c r="D1017" t="s">
        <v>19</v>
      </c>
      <c r="E1017" t="s">
        <v>1580</v>
      </c>
      <c r="F1017">
        <v>8</v>
      </c>
      <c r="G1017" t="s">
        <v>21</v>
      </c>
      <c r="H1017">
        <v>4.28</v>
      </c>
      <c r="I1017">
        <f>Table1[[#This Row],[Quantité corrigé]]*Table1[[#This Row],[Prix_Unitaire_HT]]</f>
        <v>34.24</v>
      </c>
    </row>
    <row r="1018" spans="1:9" x14ac:dyDescent="0.25">
      <c r="A1018" t="s">
        <v>1333</v>
      </c>
      <c r="B1018" t="s">
        <v>1329</v>
      </c>
      <c r="C1018" s="2" t="str">
        <f t="shared" si="18"/>
        <v>novembre</v>
      </c>
      <c r="D1018" t="s">
        <v>19</v>
      </c>
      <c r="E1018" t="s">
        <v>1581</v>
      </c>
      <c r="F1018">
        <v>10</v>
      </c>
      <c r="G1018" t="s">
        <v>25</v>
      </c>
      <c r="H1018">
        <v>21.56</v>
      </c>
      <c r="I1018">
        <f>Table1[[#This Row],[Quantité corrigé]]*Table1[[#This Row],[Prix_Unitaire_HT]]</f>
        <v>215.6</v>
      </c>
    </row>
    <row r="1019" spans="1:9" x14ac:dyDescent="0.25">
      <c r="A1019" t="s">
        <v>1334</v>
      </c>
      <c r="B1019" t="s">
        <v>1329</v>
      </c>
      <c r="C1019" s="2" t="str">
        <f t="shared" si="18"/>
        <v>novembre</v>
      </c>
      <c r="D1019" t="s">
        <v>19</v>
      </c>
      <c r="E1019" t="s">
        <v>1582</v>
      </c>
      <c r="F1019">
        <v>4</v>
      </c>
      <c r="G1019" t="s">
        <v>29</v>
      </c>
      <c r="H1019">
        <v>9.76</v>
      </c>
      <c r="I1019">
        <f>Table1[[#This Row],[Quantité corrigé]]*Table1[[#This Row],[Prix_Unitaire_HT]]</f>
        <v>39.04</v>
      </c>
    </row>
    <row r="1020" spans="1:9" x14ac:dyDescent="0.25">
      <c r="A1020" t="s">
        <v>1335</v>
      </c>
      <c r="B1020" t="s">
        <v>1336</v>
      </c>
      <c r="C1020" s="2" t="str">
        <f t="shared" si="18"/>
        <v>novembre</v>
      </c>
      <c r="D1020" t="s">
        <v>66</v>
      </c>
      <c r="E1020" t="s">
        <v>1583</v>
      </c>
      <c r="F1020">
        <v>6</v>
      </c>
      <c r="G1020" t="s">
        <v>17</v>
      </c>
      <c r="H1020">
        <v>9.4499999999999993</v>
      </c>
      <c r="I1020">
        <f>Table1[[#This Row],[Quantité corrigé]]*Table1[[#This Row],[Prix_Unitaire_HT]]</f>
        <v>56.699999999999996</v>
      </c>
    </row>
    <row r="1021" spans="1:9" x14ac:dyDescent="0.25">
      <c r="A1021" t="s">
        <v>1337</v>
      </c>
      <c r="B1021" t="s">
        <v>1336</v>
      </c>
      <c r="C1021" s="2" t="str">
        <f t="shared" si="18"/>
        <v>novembre</v>
      </c>
      <c r="D1021" t="s">
        <v>66</v>
      </c>
      <c r="E1021" t="s">
        <v>1584</v>
      </c>
      <c r="F1021">
        <v>12</v>
      </c>
      <c r="G1021" t="s">
        <v>17</v>
      </c>
      <c r="H1021">
        <v>6.95</v>
      </c>
      <c r="I1021">
        <f>Table1[[#This Row],[Quantité corrigé]]*Table1[[#This Row],[Prix_Unitaire_HT]]</f>
        <v>83.4</v>
      </c>
    </row>
    <row r="1022" spans="1:9" x14ac:dyDescent="0.25">
      <c r="A1022" t="s">
        <v>1338</v>
      </c>
      <c r="B1022" t="s">
        <v>1336</v>
      </c>
      <c r="C1022" s="2" t="str">
        <f t="shared" si="18"/>
        <v>novembre</v>
      </c>
      <c r="D1022" t="s">
        <v>69</v>
      </c>
      <c r="E1022" t="s">
        <v>1585</v>
      </c>
      <c r="F1022">
        <v>5</v>
      </c>
      <c r="G1022" t="s">
        <v>39</v>
      </c>
      <c r="H1022">
        <v>5.69</v>
      </c>
      <c r="I1022">
        <f>Table1[[#This Row],[Quantité corrigé]]*Table1[[#This Row],[Prix_Unitaire_HT]]</f>
        <v>28.450000000000003</v>
      </c>
    </row>
    <row r="1023" spans="1:9" x14ac:dyDescent="0.25">
      <c r="A1023" t="s">
        <v>1339</v>
      </c>
      <c r="B1023" t="s">
        <v>1336</v>
      </c>
      <c r="C1023" s="2" t="str">
        <f t="shared" si="18"/>
        <v>novembre</v>
      </c>
      <c r="D1023" t="s">
        <v>69</v>
      </c>
      <c r="E1023" t="s">
        <v>1586</v>
      </c>
      <c r="F1023">
        <v>12</v>
      </c>
      <c r="G1023" t="s">
        <v>43</v>
      </c>
      <c r="H1023">
        <v>3.94</v>
      </c>
      <c r="I1023">
        <f>Table1[[#This Row],[Quantité corrigé]]*Table1[[#This Row],[Prix_Unitaire_HT]]</f>
        <v>47.28</v>
      </c>
    </row>
    <row r="1024" spans="1:9" x14ac:dyDescent="0.25">
      <c r="A1024" t="s">
        <v>1340</v>
      </c>
      <c r="B1024" t="s">
        <v>1341</v>
      </c>
      <c r="C1024" s="2" t="str">
        <f t="shared" si="18"/>
        <v>novembre</v>
      </c>
      <c r="D1024" t="s">
        <v>19</v>
      </c>
      <c r="E1024" t="s">
        <v>1580</v>
      </c>
      <c r="F1024">
        <v>4</v>
      </c>
      <c r="G1024" t="s">
        <v>21</v>
      </c>
      <c r="H1024">
        <v>4.21</v>
      </c>
      <c r="I1024">
        <f>Table1[[#This Row],[Quantité corrigé]]*Table1[[#This Row],[Prix_Unitaire_HT]]</f>
        <v>16.84</v>
      </c>
    </row>
    <row r="1025" spans="1:9" x14ac:dyDescent="0.25">
      <c r="A1025" t="s">
        <v>1342</v>
      </c>
      <c r="B1025" t="s">
        <v>1341</v>
      </c>
      <c r="C1025" s="2" t="str">
        <f t="shared" si="18"/>
        <v>novembre</v>
      </c>
      <c r="D1025" t="s">
        <v>19</v>
      </c>
      <c r="E1025" t="s">
        <v>1581</v>
      </c>
      <c r="F1025">
        <v>10</v>
      </c>
      <c r="G1025" t="s">
        <v>25</v>
      </c>
      <c r="H1025">
        <v>21.65</v>
      </c>
      <c r="I1025">
        <f>Table1[[#This Row],[Quantité corrigé]]*Table1[[#This Row],[Prix_Unitaire_HT]]</f>
        <v>216.5</v>
      </c>
    </row>
    <row r="1026" spans="1:9" x14ac:dyDescent="0.25">
      <c r="A1026" t="s">
        <v>1343</v>
      </c>
      <c r="B1026" t="s">
        <v>1341</v>
      </c>
      <c r="C1026" s="2" t="str">
        <f t="shared" ref="C1026:C1089" si="19">TEXT(DATE(2024,MID(B1026,4,2),_xlfn.TEXTBEFORE(B1026,"/",1)),"mmmm")</f>
        <v>novembre</v>
      </c>
      <c r="D1026" t="s">
        <v>19</v>
      </c>
      <c r="E1026" t="s">
        <v>1582</v>
      </c>
      <c r="F1026">
        <v>10</v>
      </c>
      <c r="G1026" t="s">
        <v>29</v>
      </c>
      <c r="H1026">
        <v>10.57</v>
      </c>
      <c r="I1026">
        <f>Table1[[#This Row],[Quantité corrigé]]*Table1[[#This Row],[Prix_Unitaire_HT]]</f>
        <v>105.7</v>
      </c>
    </row>
    <row r="1027" spans="1:9" x14ac:dyDescent="0.25">
      <c r="A1027" t="s">
        <v>1344</v>
      </c>
      <c r="B1027" t="s">
        <v>1341</v>
      </c>
      <c r="C1027" s="2" t="str">
        <f t="shared" si="19"/>
        <v>novembre</v>
      </c>
      <c r="D1027" t="s">
        <v>50</v>
      </c>
      <c r="E1027" t="s">
        <v>1587</v>
      </c>
      <c r="F1027">
        <v>4</v>
      </c>
      <c r="G1027" t="s">
        <v>52</v>
      </c>
      <c r="H1027">
        <v>18.68</v>
      </c>
      <c r="I1027">
        <f>Table1[[#This Row],[Quantité corrigé]]*Table1[[#This Row],[Prix_Unitaire_HT]]</f>
        <v>74.72</v>
      </c>
    </row>
    <row r="1028" spans="1:9" x14ac:dyDescent="0.25">
      <c r="A1028" t="s">
        <v>1345</v>
      </c>
      <c r="B1028" t="s">
        <v>1341</v>
      </c>
      <c r="C1028" s="2" t="str">
        <f t="shared" si="19"/>
        <v>novembre</v>
      </c>
      <c r="D1028" t="s">
        <v>195</v>
      </c>
      <c r="E1028" t="s">
        <v>1588</v>
      </c>
      <c r="F1028">
        <v>10</v>
      </c>
      <c r="G1028" t="s">
        <v>17</v>
      </c>
      <c r="H1028">
        <v>9.16</v>
      </c>
      <c r="I1028">
        <f>Table1[[#This Row],[Quantité corrigé]]*Table1[[#This Row],[Prix_Unitaire_HT]]</f>
        <v>91.6</v>
      </c>
    </row>
    <row r="1029" spans="1:9" x14ac:dyDescent="0.25">
      <c r="A1029" t="s">
        <v>1346</v>
      </c>
      <c r="B1029" t="s">
        <v>1347</v>
      </c>
      <c r="C1029" s="2" t="str">
        <f t="shared" si="19"/>
        <v>novembre</v>
      </c>
      <c r="D1029" t="s">
        <v>61</v>
      </c>
      <c r="E1029" t="s">
        <v>1577</v>
      </c>
      <c r="F1029">
        <v>5</v>
      </c>
      <c r="G1029" t="s">
        <v>11</v>
      </c>
      <c r="H1029">
        <v>14.97</v>
      </c>
      <c r="I1029">
        <f>Table1[[#This Row],[Quantité corrigé]]*Table1[[#This Row],[Prix_Unitaire_HT]]</f>
        <v>74.850000000000009</v>
      </c>
    </row>
    <row r="1030" spans="1:9" x14ac:dyDescent="0.25">
      <c r="A1030" t="s">
        <v>1348</v>
      </c>
      <c r="B1030" t="s">
        <v>1347</v>
      </c>
      <c r="C1030" s="2" t="str">
        <f t="shared" si="19"/>
        <v>novembre</v>
      </c>
      <c r="D1030" t="s">
        <v>61</v>
      </c>
      <c r="E1030" t="s">
        <v>1578</v>
      </c>
      <c r="F1030">
        <v>3</v>
      </c>
      <c r="G1030" t="s">
        <v>11</v>
      </c>
      <c r="H1030">
        <v>13.69</v>
      </c>
      <c r="I1030">
        <f>Table1[[#This Row],[Quantité corrigé]]*Table1[[#This Row],[Prix_Unitaire_HT]]</f>
        <v>41.07</v>
      </c>
    </row>
    <row r="1031" spans="1:9" x14ac:dyDescent="0.25">
      <c r="A1031" t="s">
        <v>1349</v>
      </c>
      <c r="B1031" t="s">
        <v>1347</v>
      </c>
      <c r="C1031" s="2" t="str">
        <f t="shared" si="19"/>
        <v>novembre</v>
      </c>
      <c r="D1031" t="s">
        <v>61</v>
      </c>
      <c r="E1031" t="s">
        <v>1579</v>
      </c>
      <c r="F1031">
        <v>3</v>
      </c>
      <c r="G1031" t="s">
        <v>17</v>
      </c>
      <c r="H1031">
        <v>1.19</v>
      </c>
      <c r="I1031">
        <f>Table1[[#This Row],[Quantité corrigé]]*Table1[[#This Row],[Prix_Unitaire_HT]]</f>
        <v>3.57</v>
      </c>
    </row>
    <row r="1032" spans="1:9" x14ac:dyDescent="0.25">
      <c r="A1032" t="s">
        <v>1350</v>
      </c>
      <c r="B1032" t="s">
        <v>1351</v>
      </c>
      <c r="C1032" s="2" t="str">
        <f t="shared" si="19"/>
        <v>novembre</v>
      </c>
      <c r="D1032" t="s">
        <v>66</v>
      </c>
      <c r="E1032" t="s">
        <v>1583</v>
      </c>
      <c r="F1032">
        <v>12</v>
      </c>
      <c r="G1032" t="s">
        <v>17</v>
      </c>
      <c r="H1032">
        <v>10.19</v>
      </c>
      <c r="I1032">
        <f>Table1[[#This Row],[Quantité corrigé]]*Table1[[#This Row],[Prix_Unitaire_HT]]</f>
        <v>122.28</v>
      </c>
    </row>
    <row r="1033" spans="1:9" x14ac:dyDescent="0.25">
      <c r="A1033" t="s">
        <v>1352</v>
      </c>
      <c r="B1033" t="s">
        <v>1351</v>
      </c>
      <c r="C1033" s="2" t="str">
        <f t="shared" si="19"/>
        <v>novembre</v>
      </c>
      <c r="D1033" t="s">
        <v>66</v>
      </c>
      <c r="E1033" t="s">
        <v>1584</v>
      </c>
      <c r="F1033">
        <v>5</v>
      </c>
      <c r="G1033" t="s">
        <v>17</v>
      </c>
      <c r="H1033">
        <v>6.81</v>
      </c>
      <c r="I1033">
        <f>Table1[[#This Row],[Quantité corrigé]]*Table1[[#This Row],[Prix_Unitaire_HT]]</f>
        <v>34.049999999999997</v>
      </c>
    </row>
    <row r="1034" spans="1:9" x14ac:dyDescent="0.25">
      <c r="A1034" t="s">
        <v>1353</v>
      </c>
      <c r="B1034" t="s">
        <v>1351</v>
      </c>
      <c r="C1034" s="2" t="str">
        <f t="shared" si="19"/>
        <v>novembre</v>
      </c>
      <c r="D1034" t="s">
        <v>69</v>
      </c>
      <c r="E1034" t="s">
        <v>1585</v>
      </c>
      <c r="F1034">
        <v>12</v>
      </c>
      <c r="G1034" t="s">
        <v>39</v>
      </c>
      <c r="H1034">
        <v>5.85</v>
      </c>
      <c r="I1034">
        <f>Table1[[#This Row],[Quantité corrigé]]*Table1[[#This Row],[Prix_Unitaire_HT]]</f>
        <v>70.199999999999989</v>
      </c>
    </row>
    <row r="1035" spans="1:9" x14ac:dyDescent="0.25">
      <c r="A1035" t="s">
        <v>1354</v>
      </c>
      <c r="B1035" t="s">
        <v>1351</v>
      </c>
      <c r="C1035" s="2" t="str">
        <f t="shared" si="19"/>
        <v>novembre</v>
      </c>
      <c r="D1035" t="s">
        <v>69</v>
      </c>
      <c r="E1035" t="s">
        <v>1586</v>
      </c>
      <c r="F1035">
        <v>5</v>
      </c>
      <c r="G1035" t="s">
        <v>43</v>
      </c>
      <c r="H1035">
        <v>3.87</v>
      </c>
      <c r="I1035">
        <f>Table1[[#This Row],[Quantité corrigé]]*Table1[[#This Row],[Prix_Unitaire_HT]]</f>
        <v>19.350000000000001</v>
      </c>
    </row>
    <row r="1036" spans="1:9" x14ac:dyDescent="0.25">
      <c r="A1036" t="s">
        <v>1355</v>
      </c>
      <c r="B1036" t="s">
        <v>1356</v>
      </c>
      <c r="C1036" s="2" t="str">
        <f t="shared" si="19"/>
        <v>novembre</v>
      </c>
      <c r="D1036" t="s">
        <v>195</v>
      </c>
      <c r="E1036" t="s">
        <v>1588</v>
      </c>
      <c r="F1036">
        <v>10</v>
      </c>
      <c r="G1036" t="s">
        <v>17</v>
      </c>
      <c r="H1036">
        <v>9.69</v>
      </c>
      <c r="I1036">
        <f>Table1[[#This Row],[Quantité corrigé]]*Table1[[#This Row],[Prix_Unitaire_HT]]</f>
        <v>96.899999999999991</v>
      </c>
    </row>
    <row r="1037" spans="1:9" x14ac:dyDescent="0.25">
      <c r="A1037" t="s">
        <v>1357</v>
      </c>
      <c r="B1037" t="s">
        <v>1358</v>
      </c>
      <c r="C1037" s="2" t="str">
        <f t="shared" si="19"/>
        <v>novembre</v>
      </c>
      <c r="D1037" t="s">
        <v>61</v>
      </c>
      <c r="E1037" t="s">
        <v>1577</v>
      </c>
      <c r="F1037">
        <v>5</v>
      </c>
      <c r="G1037" t="s">
        <v>11</v>
      </c>
      <c r="H1037">
        <v>14.89</v>
      </c>
      <c r="I1037">
        <f>Table1[[#This Row],[Quantité corrigé]]*Table1[[#This Row],[Prix_Unitaire_HT]]</f>
        <v>74.45</v>
      </c>
    </row>
    <row r="1038" spans="1:9" x14ac:dyDescent="0.25">
      <c r="A1038" t="s">
        <v>1359</v>
      </c>
      <c r="B1038" t="s">
        <v>1358</v>
      </c>
      <c r="C1038" s="2" t="str">
        <f t="shared" si="19"/>
        <v>novembre</v>
      </c>
      <c r="D1038" t="s">
        <v>61</v>
      </c>
      <c r="E1038" t="s">
        <v>1578</v>
      </c>
      <c r="F1038">
        <v>6</v>
      </c>
      <c r="G1038" t="s">
        <v>11</v>
      </c>
      <c r="H1038">
        <v>13.33</v>
      </c>
      <c r="I1038">
        <f>Table1[[#This Row],[Quantité corrigé]]*Table1[[#This Row],[Prix_Unitaire_HT]]</f>
        <v>79.98</v>
      </c>
    </row>
    <row r="1039" spans="1:9" x14ac:dyDescent="0.25">
      <c r="A1039" t="s">
        <v>1360</v>
      </c>
      <c r="B1039" t="s">
        <v>1358</v>
      </c>
      <c r="C1039" s="2" t="str">
        <f t="shared" si="19"/>
        <v>novembre</v>
      </c>
      <c r="D1039" t="s">
        <v>61</v>
      </c>
      <c r="E1039" t="s">
        <v>1579</v>
      </c>
      <c r="F1039">
        <v>5</v>
      </c>
      <c r="G1039" t="s">
        <v>17</v>
      </c>
      <c r="H1039">
        <v>1.19</v>
      </c>
      <c r="I1039">
        <f>Table1[[#This Row],[Quantité corrigé]]*Table1[[#This Row],[Prix_Unitaire_HT]]</f>
        <v>5.9499999999999993</v>
      </c>
    </row>
    <row r="1040" spans="1:9" x14ac:dyDescent="0.25">
      <c r="A1040" t="s">
        <v>1361</v>
      </c>
      <c r="B1040" t="s">
        <v>1358</v>
      </c>
      <c r="C1040" s="2" t="str">
        <f t="shared" si="19"/>
        <v>novembre</v>
      </c>
      <c r="D1040" t="s">
        <v>19</v>
      </c>
      <c r="E1040" t="s">
        <v>1580</v>
      </c>
      <c r="F1040">
        <v>4</v>
      </c>
      <c r="G1040" t="s">
        <v>21</v>
      </c>
      <c r="H1040">
        <v>4.33</v>
      </c>
      <c r="I1040">
        <f>Table1[[#This Row],[Quantité corrigé]]*Table1[[#This Row],[Prix_Unitaire_HT]]</f>
        <v>17.32</v>
      </c>
    </row>
    <row r="1041" spans="1:9" x14ac:dyDescent="0.25">
      <c r="A1041" t="s">
        <v>1362</v>
      </c>
      <c r="B1041" t="s">
        <v>1358</v>
      </c>
      <c r="C1041" s="2" t="str">
        <f t="shared" si="19"/>
        <v>novembre</v>
      </c>
      <c r="D1041" t="s">
        <v>19</v>
      </c>
      <c r="E1041" t="s">
        <v>1581</v>
      </c>
      <c r="F1041">
        <v>4</v>
      </c>
      <c r="G1041" t="s">
        <v>25</v>
      </c>
      <c r="H1041">
        <v>23.69</v>
      </c>
      <c r="I1041">
        <f>Table1[[#This Row],[Quantité corrigé]]*Table1[[#This Row],[Prix_Unitaire_HT]]</f>
        <v>94.76</v>
      </c>
    </row>
    <row r="1042" spans="1:9" x14ac:dyDescent="0.25">
      <c r="A1042" t="s">
        <v>1363</v>
      </c>
      <c r="B1042" t="s">
        <v>1358</v>
      </c>
      <c r="C1042" s="2" t="str">
        <f t="shared" si="19"/>
        <v>novembre</v>
      </c>
      <c r="D1042" t="s">
        <v>19</v>
      </c>
      <c r="E1042" t="s">
        <v>1582</v>
      </c>
      <c r="F1042">
        <v>10</v>
      </c>
      <c r="G1042" t="s">
        <v>29</v>
      </c>
      <c r="H1042">
        <v>9.76</v>
      </c>
      <c r="I1042">
        <f>Table1[[#This Row],[Quantité corrigé]]*Table1[[#This Row],[Prix_Unitaire_HT]]</f>
        <v>97.6</v>
      </c>
    </row>
    <row r="1043" spans="1:9" x14ac:dyDescent="0.25">
      <c r="A1043" t="s">
        <v>1364</v>
      </c>
      <c r="B1043" t="s">
        <v>1365</v>
      </c>
      <c r="C1043" s="2" t="str">
        <f t="shared" si="19"/>
        <v>novembre</v>
      </c>
      <c r="D1043" t="s">
        <v>66</v>
      </c>
      <c r="E1043" t="s">
        <v>1583</v>
      </c>
      <c r="F1043">
        <v>5</v>
      </c>
      <c r="G1043" t="s">
        <v>17</v>
      </c>
      <c r="H1043">
        <v>9.5399999999999991</v>
      </c>
      <c r="I1043">
        <f>Table1[[#This Row],[Quantité corrigé]]*Table1[[#This Row],[Prix_Unitaire_HT]]</f>
        <v>47.699999999999996</v>
      </c>
    </row>
    <row r="1044" spans="1:9" x14ac:dyDescent="0.25">
      <c r="A1044" t="s">
        <v>1366</v>
      </c>
      <c r="B1044" t="s">
        <v>1365</v>
      </c>
      <c r="C1044" s="2" t="str">
        <f t="shared" si="19"/>
        <v>novembre</v>
      </c>
      <c r="D1044" t="s">
        <v>66</v>
      </c>
      <c r="E1044" t="s">
        <v>1584</v>
      </c>
      <c r="F1044">
        <v>12</v>
      </c>
      <c r="G1044" t="s">
        <v>17</v>
      </c>
      <c r="H1044">
        <v>7.46</v>
      </c>
      <c r="I1044">
        <f>Table1[[#This Row],[Quantité corrigé]]*Table1[[#This Row],[Prix_Unitaire_HT]]</f>
        <v>89.52</v>
      </c>
    </row>
    <row r="1045" spans="1:9" x14ac:dyDescent="0.25">
      <c r="A1045" t="s">
        <v>1367</v>
      </c>
      <c r="B1045" t="s">
        <v>1365</v>
      </c>
      <c r="C1045" s="2" t="str">
        <f t="shared" si="19"/>
        <v>novembre</v>
      </c>
      <c r="D1045" t="s">
        <v>69</v>
      </c>
      <c r="E1045" t="s">
        <v>1585</v>
      </c>
      <c r="F1045">
        <v>10</v>
      </c>
      <c r="G1045" t="s">
        <v>39</v>
      </c>
      <c r="H1045">
        <v>5.8</v>
      </c>
      <c r="I1045">
        <f>Table1[[#This Row],[Quantité corrigé]]*Table1[[#This Row],[Prix_Unitaire_HT]]</f>
        <v>58</v>
      </c>
    </row>
    <row r="1046" spans="1:9" x14ac:dyDescent="0.25">
      <c r="A1046" t="s">
        <v>1368</v>
      </c>
      <c r="B1046" t="s">
        <v>1365</v>
      </c>
      <c r="C1046" s="2" t="str">
        <f t="shared" si="19"/>
        <v>novembre</v>
      </c>
      <c r="D1046" t="s">
        <v>69</v>
      </c>
      <c r="E1046" t="s">
        <v>1586</v>
      </c>
      <c r="F1046">
        <v>12</v>
      </c>
      <c r="G1046" t="s">
        <v>43</v>
      </c>
      <c r="H1046">
        <v>3.93</v>
      </c>
      <c r="I1046">
        <f>Table1[[#This Row],[Quantité corrigé]]*Table1[[#This Row],[Prix_Unitaire_HT]]</f>
        <v>47.160000000000004</v>
      </c>
    </row>
    <row r="1047" spans="1:9" x14ac:dyDescent="0.25">
      <c r="A1047" t="s">
        <v>1369</v>
      </c>
      <c r="B1047" t="s">
        <v>1370</v>
      </c>
      <c r="C1047" s="2" t="str">
        <f t="shared" si="19"/>
        <v>novembre</v>
      </c>
      <c r="D1047" t="s">
        <v>19</v>
      </c>
      <c r="E1047" t="s">
        <v>1580</v>
      </c>
      <c r="F1047">
        <v>4</v>
      </c>
      <c r="G1047" t="s">
        <v>21</v>
      </c>
      <c r="H1047">
        <v>4.09</v>
      </c>
      <c r="I1047">
        <f>Table1[[#This Row],[Quantité corrigé]]*Table1[[#This Row],[Prix_Unitaire_HT]]</f>
        <v>16.36</v>
      </c>
    </row>
    <row r="1048" spans="1:9" x14ac:dyDescent="0.25">
      <c r="A1048" t="s">
        <v>1371</v>
      </c>
      <c r="B1048" t="s">
        <v>1370</v>
      </c>
      <c r="C1048" s="2" t="str">
        <f t="shared" si="19"/>
        <v>novembre</v>
      </c>
      <c r="D1048" t="s">
        <v>19</v>
      </c>
      <c r="E1048" t="s">
        <v>1581</v>
      </c>
      <c r="F1048">
        <v>4</v>
      </c>
      <c r="G1048" t="s">
        <v>25</v>
      </c>
      <c r="H1048">
        <v>21.87</v>
      </c>
      <c r="I1048">
        <f>Table1[[#This Row],[Quantité corrigé]]*Table1[[#This Row],[Prix_Unitaire_HT]]</f>
        <v>87.48</v>
      </c>
    </row>
    <row r="1049" spans="1:9" x14ac:dyDescent="0.25">
      <c r="A1049" t="s">
        <v>1372</v>
      </c>
      <c r="B1049" t="s">
        <v>1370</v>
      </c>
      <c r="C1049" s="2" t="str">
        <f t="shared" si="19"/>
        <v>novembre</v>
      </c>
      <c r="D1049" t="s">
        <v>19</v>
      </c>
      <c r="E1049" t="s">
        <v>1582</v>
      </c>
      <c r="F1049">
        <v>8</v>
      </c>
      <c r="G1049" t="s">
        <v>29</v>
      </c>
      <c r="H1049">
        <v>10.43</v>
      </c>
      <c r="I1049">
        <f>Table1[[#This Row],[Quantité corrigé]]*Table1[[#This Row],[Prix_Unitaire_HT]]</f>
        <v>83.44</v>
      </c>
    </row>
    <row r="1050" spans="1:9" x14ac:dyDescent="0.25">
      <c r="A1050" t="s">
        <v>1373</v>
      </c>
      <c r="B1050" t="s">
        <v>1370</v>
      </c>
      <c r="C1050" s="2" t="str">
        <f t="shared" si="19"/>
        <v>novembre</v>
      </c>
      <c r="D1050" t="s">
        <v>50</v>
      </c>
      <c r="E1050" t="s">
        <v>1587</v>
      </c>
      <c r="F1050">
        <v>2</v>
      </c>
      <c r="G1050" t="s">
        <v>52</v>
      </c>
      <c r="H1050">
        <v>18.7</v>
      </c>
      <c r="I1050">
        <f>Table1[[#This Row],[Quantité corrigé]]*Table1[[#This Row],[Prix_Unitaire_HT]]</f>
        <v>37.4</v>
      </c>
    </row>
    <row r="1051" spans="1:9" x14ac:dyDescent="0.25">
      <c r="A1051" t="s">
        <v>1374</v>
      </c>
      <c r="B1051" t="s">
        <v>1370</v>
      </c>
      <c r="C1051" s="2" t="str">
        <f t="shared" si="19"/>
        <v>novembre</v>
      </c>
      <c r="D1051" t="s">
        <v>195</v>
      </c>
      <c r="E1051" t="s">
        <v>1588</v>
      </c>
      <c r="F1051">
        <v>4</v>
      </c>
      <c r="G1051" t="s">
        <v>17</v>
      </c>
      <c r="H1051">
        <v>9.34</v>
      </c>
      <c r="I1051">
        <f>Table1[[#This Row],[Quantité corrigé]]*Table1[[#This Row],[Prix_Unitaire_HT]]</f>
        <v>37.36</v>
      </c>
    </row>
    <row r="1052" spans="1:9" x14ac:dyDescent="0.25">
      <c r="A1052" t="s">
        <v>1375</v>
      </c>
      <c r="B1052" t="s">
        <v>1376</v>
      </c>
      <c r="C1052" s="2" t="str">
        <f t="shared" si="19"/>
        <v>novembre</v>
      </c>
      <c r="D1052" t="s">
        <v>61</v>
      </c>
      <c r="E1052" t="s">
        <v>1577</v>
      </c>
      <c r="F1052">
        <v>3</v>
      </c>
      <c r="G1052" t="s">
        <v>11</v>
      </c>
      <c r="H1052">
        <v>14.46</v>
      </c>
      <c r="I1052">
        <f>Table1[[#This Row],[Quantité corrigé]]*Table1[[#This Row],[Prix_Unitaire_HT]]</f>
        <v>43.38</v>
      </c>
    </row>
    <row r="1053" spans="1:9" x14ac:dyDescent="0.25">
      <c r="A1053" t="s">
        <v>1377</v>
      </c>
      <c r="B1053" t="s">
        <v>1376</v>
      </c>
      <c r="C1053" s="2" t="str">
        <f t="shared" si="19"/>
        <v>novembre</v>
      </c>
      <c r="D1053" t="s">
        <v>61</v>
      </c>
      <c r="E1053" t="s">
        <v>1578</v>
      </c>
      <c r="F1053">
        <v>4</v>
      </c>
      <c r="G1053" t="s">
        <v>11</v>
      </c>
      <c r="H1053">
        <v>13.75</v>
      </c>
      <c r="I1053">
        <f>Table1[[#This Row],[Quantité corrigé]]*Table1[[#This Row],[Prix_Unitaire_HT]]</f>
        <v>55</v>
      </c>
    </row>
    <row r="1054" spans="1:9" x14ac:dyDescent="0.25">
      <c r="A1054" t="s">
        <v>1378</v>
      </c>
      <c r="B1054" t="s">
        <v>1376</v>
      </c>
      <c r="C1054" s="2" t="str">
        <f t="shared" si="19"/>
        <v>novembre</v>
      </c>
      <c r="D1054" t="s">
        <v>61</v>
      </c>
      <c r="E1054" t="s">
        <v>1579</v>
      </c>
      <c r="F1054">
        <v>3</v>
      </c>
      <c r="G1054" t="s">
        <v>17</v>
      </c>
      <c r="H1054">
        <v>1.24</v>
      </c>
      <c r="I1054">
        <f>Table1[[#This Row],[Quantité corrigé]]*Table1[[#This Row],[Prix_Unitaire_HT]]</f>
        <v>3.7199999999999998</v>
      </c>
    </row>
    <row r="1055" spans="1:9" x14ac:dyDescent="0.25">
      <c r="A1055" t="s">
        <v>1379</v>
      </c>
      <c r="B1055" t="s">
        <v>1380</v>
      </c>
      <c r="C1055" s="2" t="str">
        <f t="shared" si="19"/>
        <v>novembre</v>
      </c>
      <c r="D1055" t="s">
        <v>66</v>
      </c>
      <c r="E1055" t="s">
        <v>1583</v>
      </c>
      <c r="F1055">
        <v>8</v>
      </c>
      <c r="G1055" t="s">
        <v>17</v>
      </c>
      <c r="H1055">
        <v>8.57</v>
      </c>
      <c r="I1055">
        <f>Table1[[#This Row],[Quantité corrigé]]*Table1[[#This Row],[Prix_Unitaire_HT]]</f>
        <v>68.56</v>
      </c>
    </row>
    <row r="1056" spans="1:9" x14ac:dyDescent="0.25">
      <c r="A1056" t="s">
        <v>1381</v>
      </c>
      <c r="B1056" t="s">
        <v>1380</v>
      </c>
      <c r="C1056" s="2" t="str">
        <f t="shared" si="19"/>
        <v>novembre</v>
      </c>
      <c r="D1056" t="s">
        <v>66</v>
      </c>
      <c r="E1056" t="s">
        <v>1584</v>
      </c>
      <c r="F1056">
        <v>8</v>
      </c>
      <c r="G1056" t="s">
        <v>17</v>
      </c>
      <c r="H1056">
        <v>7.17</v>
      </c>
      <c r="I1056">
        <f>Table1[[#This Row],[Quantité corrigé]]*Table1[[#This Row],[Prix_Unitaire_HT]]</f>
        <v>57.36</v>
      </c>
    </row>
    <row r="1057" spans="1:9" x14ac:dyDescent="0.25">
      <c r="A1057" t="s">
        <v>1382</v>
      </c>
      <c r="B1057" t="s">
        <v>1380</v>
      </c>
      <c r="C1057" s="2" t="str">
        <f t="shared" si="19"/>
        <v>novembre</v>
      </c>
      <c r="D1057" t="s">
        <v>69</v>
      </c>
      <c r="E1057" t="s">
        <v>1585</v>
      </c>
      <c r="F1057">
        <v>8</v>
      </c>
      <c r="G1057" t="s">
        <v>39</v>
      </c>
      <c r="H1057">
        <v>5.75</v>
      </c>
      <c r="I1057">
        <f>Table1[[#This Row],[Quantité corrigé]]*Table1[[#This Row],[Prix_Unitaire_HT]]</f>
        <v>46</v>
      </c>
    </row>
    <row r="1058" spans="1:9" x14ac:dyDescent="0.25">
      <c r="A1058" t="s">
        <v>1383</v>
      </c>
      <c r="B1058" t="s">
        <v>1380</v>
      </c>
      <c r="C1058" s="2" t="str">
        <f t="shared" si="19"/>
        <v>novembre</v>
      </c>
      <c r="D1058" t="s">
        <v>69</v>
      </c>
      <c r="E1058" t="s">
        <v>1586</v>
      </c>
      <c r="F1058">
        <v>8</v>
      </c>
      <c r="G1058" t="s">
        <v>43</v>
      </c>
      <c r="H1058">
        <v>3.88</v>
      </c>
      <c r="I1058">
        <f>Table1[[#This Row],[Quantité corrigé]]*Table1[[#This Row],[Prix_Unitaire_HT]]</f>
        <v>31.04</v>
      </c>
    </row>
    <row r="1059" spans="1:9" x14ac:dyDescent="0.25">
      <c r="A1059" t="s">
        <v>1384</v>
      </c>
      <c r="B1059" t="s">
        <v>1385</v>
      </c>
      <c r="C1059" s="2" t="str">
        <f t="shared" si="19"/>
        <v>novembre</v>
      </c>
      <c r="D1059" t="s">
        <v>195</v>
      </c>
      <c r="E1059" t="s">
        <v>1588</v>
      </c>
      <c r="F1059">
        <v>6</v>
      </c>
      <c r="G1059" t="s">
        <v>17</v>
      </c>
      <c r="H1059">
        <v>8.69</v>
      </c>
      <c r="I1059">
        <f>Table1[[#This Row],[Quantité corrigé]]*Table1[[#This Row],[Prix_Unitaire_HT]]</f>
        <v>52.14</v>
      </c>
    </row>
    <row r="1060" spans="1:9" x14ac:dyDescent="0.25">
      <c r="A1060" t="s">
        <v>1386</v>
      </c>
      <c r="B1060" t="s">
        <v>1387</v>
      </c>
      <c r="C1060" s="2" t="str">
        <f t="shared" si="19"/>
        <v>novembre</v>
      </c>
      <c r="D1060" t="s">
        <v>61</v>
      </c>
      <c r="E1060" t="s">
        <v>1577</v>
      </c>
      <c r="F1060">
        <v>4</v>
      </c>
      <c r="G1060" t="s">
        <v>11</v>
      </c>
      <c r="H1060">
        <v>14.98</v>
      </c>
      <c r="I1060">
        <f>Table1[[#This Row],[Quantité corrigé]]*Table1[[#This Row],[Prix_Unitaire_HT]]</f>
        <v>59.92</v>
      </c>
    </row>
    <row r="1061" spans="1:9" x14ac:dyDescent="0.25">
      <c r="A1061" t="s">
        <v>1388</v>
      </c>
      <c r="B1061" t="s">
        <v>1387</v>
      </c>
      <c r="C1061" s="2" t="str">
        <f t="shared" si="19"/>
        <v>novembre</v>
      </c>
      <c r="D1061" t="s">
        <v>61</v>
      </c>
      <c r="E1061" t="s">
        <v>1578</v>
      </c>
      <c r="F1061">
        <v>6</v>
      </c>
      <c r="G1061" t="s">
        <v>11</v>
      </c>
      <c r="H1061">
        <v>13.53</v>
      </c>
      <c r="I1061">
        <f>Table1[[#This Row],[Quantité corrigé]]*Table1[[#This Row],[Prix_Unitaire_HT]]</f>
        <v>81.179999999999993</v>
      </c>
    </row>
    <row r="1062" spans="1:9" x14ac:dyDescent="0.25">
      <c r="A1062" t="s">
        <v>1389</v>
      </c>
      <c r="B1062" t="s">
        <v>1387</v>
      </c>
      <c r="C1062" s="2" t="str">
        <f t="shared" si="19"/>
        <v>novembre</v>
      </c>
      <c r="D1062" t="s">
        <v>61</v>
      </c>
      <c r="E1062" t="s">
        <v>1579</v>
      </c>
      <c r="F1062">
        <v>3</v>
      </c>
      <c r="G1062" t="s">
        <v>17</v>
      </c>
      <c r="H1062">
        <v>1.26</v>
      </c>
      <c r="I1062">
        <f>Table1[[#This Row],[Quantité corrigé]]*Table1[[#This Row],[Prix_Unitaire_HT]]</f>
        <v>3.7800000000000002</v>
      </c>
    </row>
    <row r="1063" spans="1:9" x14ac:dyDescent="0.25">
      <c r="A1063" t="s">
        <v>1390</v>
      </c>
      <c r="B1063" t="s">
        <v>1387</v>
      </c>
      <c r="C1063" s="2" t="str">
        <f t="shared" si="19"/>
        <v>novembre</v>
      </c>
      <c r="D1063" t="s">
        <v>19</v>
      </c>
      <c r="E1063" t="s">
        <v>1580</v>
      </c>
      <c r="F1063">
        <v>8</v>
      </c>
      <c r="G1063" t="s">
        <v>21</v>
      </c>
      <c r="H1063">
        <v>4.26</v>
      </c>
      <c r="I1063">
        <f>Table1[[#This Row],[Quantité corrigé]]*Table1[[#This Row],[Prix_Unitaire_HT]]</f>
        <v>34.08</v>
      </c>
    </row>
    <row r="1064" spans="1:9" x14ac:dyDescent="0.25">
      <c r="A1064" t="s">
        <v>1391</v>
      </c>
      <c r="B1064" t="s">
        <v>1387</v>
      </c>
      <c r="C1064" s="2" t="str">
        <f t="shared" si="19"/>
        <v>novembre</v>
      </c>
      <c r="D1064" t="s">
        <v>19</v>
      </c>
      <c r="E1064" t="s">
        <v>1581</v>
      </c>
      <c r="F1064">
        <v>6</v>
      </c>
      <c r="G1064" t="s">
        <v>25</v>
      </c>
      <c r="H1064">
        <v>22.04</v>
      </c>
      <c r="I1064">
        <f>Table1[[#This Row],[Quantité corrigé]]*Table1[[#This Row],[Prix_Unitaire_HT]]</f>
        <v>132.24</v>
      </c>
    </row>
    <row r="1065" spans="1:9" x14ac:dyDescent="0.25">
      <c r="A1065" t="s">
        <v>1392</v>
      </c>
      <c r="B1065" t="s">
        <v>1387</v>
      </c>
      <c r="C1065" s="2" t="str">
        <f t="shared" si="19"/>
        <v>novembre</v>
      </c>
      <c r="D1065" t="s">
        <v>19</v>
      </c>
      <c r="E1065" t="s">
        <v>1582</v>
      </c>
      <c r="F1065">
        <v>4</v>
      </c>
      <c r="G1065" t="s">
        <v>29</v>
      </c>
      <c r="H1065">
        <v>9.92</v>
      </c>
      <c r="I1065">
        <f>Table1[[#This Row],[Quantité corrigé]]*Table1[[#This Row],[Prix_Unitaire_HT]]</f>
        <v>39.68</v>
      </c>
    </row>
    <row r="1066" spans="1:9" x14ac:dyDescent="0.25">
      <c r="A1066" t="s">
        <v>1393</v>
      </c>
      <c r="B1066" t="s">
        <v>1394</v>
      </c>
      <c r="C1066" s="2" t="str">
        <f t="shared" si="19"/>
        <v>novembre</v>
      </c>
      <c r="D1066" t="s">
        <v>66</v>
      </c>
      <c r="E1066" t="s">
        <v>1583</v>
      </c>
      <c r="F1066">
        <v>6</v>
      </c>
      <c r="G1066" t="s">
        <v>17</v>
      </c>
      <c r="H1066">
        <v>10.32</v>
      </c>
      <c r="I1066">
        <f>Table1[[#This Row],[Quantité corrigé]]*Table1[[#This Row],[Prix_Unitaire_HT]]</f>
        <v>61.92</v>
      </c>
    </row>
    <row r="1067" spans="1:9" x14ac:dyDescent="0.25">
      <c r="A1067" t="s">
        <v>1395</v>
      </c>
      <c r="B1067" t="s">
        <v>1394</v>
      </c>
      <c r="C1067" s="2" t="str">
        <f t="shared" si="19"/>
        <v>novembre</v>
      </c>
      <c r="D1067" t="s">
        <v>66</v>
      </c>
      <c r="E1067" t="s">
        <v>1584</v>
      </c>
      <c r="F1067">
        <v>10</v>
      </c>
      <c r="G1067" t="s">
        <v>17</v>
      </c>
      <c r="H1067">
        <v>7.43</v>
      </c>
      <c r="I1067">
        <f>Table1[[#This Row],[Quantité corrigé]]*Table1[[#This Row],[Prix_Unitaire_HT]]</f>
        <v>74.3</v>
      </c>
    </row>
    <row r="1068" spans="1:9" x14ac:dyDescent="0.25">
      <c r="A1068" t="s">
        <v>1396</v>
      </c>
      <c r="B1068" t="s">
        <v>1394</v>
      </c>
      <c r="C1068" s="2" t="str">
        <f t="shared" si="19"/>
        <v>novembre</v>
      </c>
      <c r="D1068" t="s">
        <v>69</v>
      </c>
      <c r="E1068" t="s">
        <v>1585</v>
      </c>
      <c r="F1068">
        <v>8</v>
      </c>
      <c r="G1068" t="s">
        <v>39</v>
      </c>
      <c r="H1068">
        <v>5.69</v>
      </c>
      <c r="I1068">
        <f>Table1[[#This Row],[Quantité corrigé]]*Table1[[#This Row],[Prix_Unitaire_HT]]</f>
        <v>45.52</v>
      </c>
    </row>
    <row r="1069" spans="1:9" x14ac:dyDescent="0.25">
      <c r="A1069" t="s">
        <v>1397</v>
      </c>
      <c r="B1069" t="s">
        <v>1394</v>
      </c>
      <c r="C1069" s="2" t="str">
        <f t="shared" si="19"/>
        <v>novembre</v>
      </c>
      <c r="D1069" t="s">
        <v>69</v>
      </c>
      <c r="E1069" t="s">
        <v>1586</v>
      </c>
      <c r="F1069">
        <v>10</v>
      </c>
      <c r="G1069" t="s">
        <v>43</v>
      </c>
      <c r="H1069">
        <v>3.9</v>
      </c>
      <c r="I1069">
        <f>Table1[[#This Row],[Quantité corrigé]]*Table1[[#This Row],[Prix_Unitaire_HT]]</f>
        <v>39</v>
      </c>
    </row>
    <row r="1070" spans="1:9" x14ac:dyDescent="0.25">
      <c r="A1070" t="s">
        <v>1398</v>
      </c>
      <c r="B1070" t="s">
        <v>1399</v>
      </c>
      <c r="C1070" s="2" t="str">
        <f t="shared" si="19"/>
        <v>novembre</v>
      </c>
      <c r="D1070" t="s">
        <v>19</v>
      </c>
      <c r="E1070" t="s">
        <v>1580</v>
      </c>
      <c r="F1070">
        <v>10</v>
      </c>
      <c r="G1070" t="s">
        <v>21</v>
      </c>
      <c r="H1070">
        <v>4.12</v>
      </c>
      <c r="I1070">
        <f>Table1[[#This Row],[Quantité corrigé]]*Table1[[#This Row],[Prix_Unitaire_HT]]</f>
        <v>41.2</v>
      </c>
    </row>
    <row r="1071" spans="1:9" x14ac:dyDescent="0.25">
      <c r="A1071" t="s">
        <v>1400</v>
      </c>
      <c r="B1071" t="s">
        <v>1399</v>
      </c>
      <c r="C1071" s="2" t="str">
        <f t="shared" si="19"/>
        <v>novembre</v>
      </c>
      <c r="D1071" t="s">
        <v>19</v>
      </c>
      <c r="E1071" t="s">
        <v>1581</v>
      </c>
      <c r="F1071">
        <v>10</v>
      </c>
      <c r="G1071" t="s">
        <v>25</v>
      </c>
      <c r="H1071">
        <v>21.95</v>
      </c>
      <c r="I1071">
        <f>Table1[[#This Row],[Quantité corrigé]]*Table1[[#This Row],[Prix_Unitaire_HT]]</f>
        <v>219.5</v>
      </c>
    </row>
    <row r="1072" spans="1:9" x14ac:dyDescent="0.25">
      <c r="A1072" t="s">
        <v>1401</v>
      </c>
      <c r="B1072" t="s">
        <v>1399</v>
      </c>
      <c r="C1072" s="2" t="str">
        <f t="shared" si="19"/>
        <v>novembre</v>
      </c>
      <c r="D1072" t="s">
        <v>19</v>
      </c>
      <c r="E1072" t="s">
        <v>1582</v>
      </c>
      <c r="F1072">
        <v>8</v>
      </c>
      <c r="G1072" t="s">
        <v>29</v>
      </c>
      <c r="H1072">
        <v>10.199999999999999</v>
      </c>
      <c r="I1072">
        <f>Table1[[#This Row],[Quantité corrigé]]*Table1[[#This Row],[Prix_Unitaire_HT]]</f>
        <v>81.599999999999994</v>
      </c>
    </row>
    <row r="1073" spans="1:9" x14ac:dyDescent="0.25">
      <c r="A1073" t="s">
        <v>1402</v>
      </c>
      <c r="B1073" t="s">
        <v>1399</v>
      </c>
      <c r="C1073" s="2" t="str">
        <f t="shared" si="19"/>
        <v>novembre</v>
      </c>
      <c r="D1073" t="s">
        <v>50</v>
      </c>
      <c r="E1073" t="s">
        <v>1587</v>
      </c>
      <c r="F1073">
        <v>2</v>
      </c>
      <c r="G1073" t="s">
        <v>52</v>
      </c>
      <c r="H1073">
        <v>18.23</v>
      </c>
      <c r="I1073">
        <f>Table1[[#This Row],[Quantité corrigé]]*Table1[[#This Row],[Prix_Unitaire_HT]]</f>
        <v>36.46</v>
      </c>
    </row>
    <row r="1074" spans="1:9" x14ac:dyDescent="0.25">
      <c r="A1074" t="s">
        <v>1403</v>
      </c>
      <c r="B1074" t="s">
        <v>1399</v>
      </c>
      <c r="C1074" s="2" t="str">
        <f t="shared" si="19"/>
        <v>novembre</v>
      </c>
      <c r="D1074" t="s">
        <v>195</v>
      </c>
      <c r="E1074" t="s">
        <v>1588</v>
      </c>
      <c r="F1074">
        <v>8</v>
      </c>
      <c r="G1074" t="s">
        <v>17</v>
      </c>
      <c r="H1074">
        <v>9.5299999999999994</v>
      </c>
      <c r="I1074">
        <f>Table1[[#This Row],[Quantité corrigé]]*Table1[[#This Row],[Prix_Unitaire_HT]]</f>
        <v>76.239999999999995</v>
      </c>
    </row>
    <row r="1075" spans="1:9" x14ac:dyDescent="0.25">
      <c r="A1075" t="s">
        <v>1404</v>
      </c>
      <c r="B1075" t="s">
        <v>1405</v>
      </c>
      <c r="C1075" s="2" t="str">
        <f t="shared" si="19"/>
        <v>novembre</v>
      </c>
      <c r="D1075" t="s">
        <v>61</v>
      </c>
      <c r="E1075" t="s">
        <v>1577</v>
      </c>
      <c r="F1075">
        <v>6</v>
      </c>
      <c r="G1075" t="s">
        <v>11</v>
      </c>
      <c r="H1075">
        <v>15.08</v>
      </c>
      <c r="I1075">
        <f>Table1[[#This Row],[Quantité corrigé]]*Table1[[#This Row],[Prix_Unitaire_HT]]</f>
        <v>90.48</v>
      </c>
    </row>
    <row r="1076" spans="1:9" x14ac:dyDescent="0.25">
      <c r="A1076" t="s">
        <v>1406</v>
      </c>
      <c r="B1076" t="s">
        <v>1405</v>
      </c>
      <c r="C1076" s="2" t="str">
        <f t="shared" si="19"/>
        <v>novembre</v>
      </c>
      <c r="D1076" t="s">
        <v>61</v>
      </c>
      <c r="E1076" t="s">
        <v>1578</v>
      </c>
      <c r="F1076">
        <v>6</v>
      </c>
      <c r="G1076" t="s">
        <v>11</v>
      </c>
      <c r="H1076">
        <v>13.76</v>
      </c>
      <c r="I1076">
        <f>Table1[[#This Row],[Quantité corrigé]]*Table1[[#This Row],[Prix_Unitaire_HT]]</f>
        <v>82.56</v>
      </c>
    </row>
    <row r="1077" spans="1:9" x14ac:dyDescent="0.25">
      <c r="A1077" t="s">
        <v>1407</v>
      </c>
      <c r="B1077" t="s">
        <v>1405</v>
      </c>
      <c r="C1077" s="2" t="str">
        <f t="shared" si="19"/>
        <v>novembre</v>
      </c>
      <c r="D1077" t="s">
        <v>61</v>
      </c>
      <c r="E1077" t="s">
        <v>1579</v>
      </c>
      <c r="F1077">
        <v>4</v>
      </c>
      <c r="G1077" t="s">
        <v>17</v>
      </c>
      <c r="H1077">
        <v>1.27</v>
      </c>
      <c r="I1077">
        <f>Table1[[#This Row],[Quantité corrigé]]*Table1[[#This Row],[Prix_Unitaire_HT]]</f>
        <v>5.08</v>
      </c>
    </row>
    <row r="1078" spans="1:9" x14ac:dyDescent="0.25">
      <c r="A1078" t="s">
        <v>1408</v>
      </c>
      <c r="B1078" t="s">
        <v>1409</v>
      </c>
      <c r="C1078" s="2" t="str">
        <f t="shared" si="19"/>
        <v>novembre</v>
      </c>
      <c r="D1078" t="s">
        <v>66</v>
      </c>
      <c r="E1078" t="s">
        <v>1583</v>
      </c>
      <c r="F1078">
        <v>8</v>
      </c>
      <c r="G1078" t="s">
        <v>17</v>
      </c>
      <c r="H1078">
        <v>10.15</v>
      </c>
      <c r="I1078">
        <f>Table1[[#This Row],[Quantité corrigé]]*Table1[[#This Row],[Prix_Unitaire_HT]]</f>
        <v>81.2</v>
      </c>
    </row>
    <row r="1079" spans="1:9" x14ac:dyDescent="0.25">
      <c r="A1079" t="s">
        <v>1410</v>
      </c>
      <c r="B1079" t="s">
        <v>1409</v>
      </c>
      <c r="C1079" s="2" t="str">
        <f t="shared" si="19"/>
        <v>novembre</v>
      </c>
      <c r="D1079" t="s">
        <v>66</v>
      </c>
      <c r="E1079" t="s">
        <v>1584</v>
      </c>
      <c r="F1079">
        <v>6</v>
      </c>
      <c r="G1079" t="s">
        <v>17</v>
      </c>
      <c r="H1079">
        <v>7.08</v>
      </c>
      <c r="I1079">
        <f>Table1[[#This Row],[Quantité corrigé]]*Table1[[#This Row],[Prix_Unitaire_HT]]</f>
        <v>42.480000000000004</v>
      </c>
    </row>
    <row r="1080" spans="1:9" x14ac:dyDescent="0.25">
      <c r="A1080" t="s">
        <v>1411</v>
      </c>
      <c r="B1080" t="s">
        <v>1409</v>
      </c>
      <c r="C1080" s="2" t="str">
        <f t="shared" si="19"/>
        <v>novembre</v>
      </c>
      <c r="D1080" t="s">
        <v>69</v>
      </c>
      <c r="E1080" t="s">
        <v>1585</v>
      </c>
      <c r="F1080">
        <v>5</v>
      </c>
      <c r="G1080" t="s">
        <v>39</v>
      </c>
      <c r="H1080">
        <v>5.85</v>
      </c>
      <c r="I1080">
        <f>Table1[[#This Row],[Quantité corrigé]]*Table1[[#This Row],[Prix_Unitaire_HT]]</f>
        <v>29.25</v>
      </c>
    </row>
    <row r="1081" spans="1:9" x14ac:dyDescent="0.25">
      <c r="A1081" t="s">
        <v>1412</v>
      </c>
      <c r="B1081" t="s">
        <v>1409</v>
      </c>
      <c r="C1081" s="2" t="str">
        <f t="shared" si="19"/>
        <v>novembre</v>
      </c>
      <c r="D1081" t="s">
        <v>69</v>
      </c>
      <c r="E1081" t="s">
        <v>1586</v>
      </c>
      <c r="F1081">
        <v>10</v>
      </c>
      <c r="G1081" t="s">
        <v>43</v>
      </c>
      <c r="H1081">
        <v>3.88</v>
      </c>
      <c r="I1081">
        <f>Table1[[#This Row],[Quantité corrigé]]*Table1[[#This Row],[Prix_Unitaire_HT]]</f>
        <v>38.799999999999997</v>
      </c>
    </row>
    <row r="1082" spans="1:9" x14ac:dyDescent="0.25">
      <c r="A1082" t="s">
        <v>1413</v>
      </c>
      <c r="B1082" t="s">
        <v>1414</v>
      </c>
      <c r="C1082" s="2" t="str">
        <f t="shared" si="19"/>
        <v>novembre</v>
      </c>
      <c r="D1082" t="s">
        <v>195</v>
      </c>
      <c r="E1082" t="s">
        <v>1588</v>
      </c>
      <c r="F1082">
        <v>10</v>
      </c>
      <c r="G1082" t="s">
        <v>17</v>
      </c>
      <c r="H1082">
        <v>8.86</v>
      </c>
      <c r="I1082">
        <f>Table1[[#This Row],[Quantité corrigé]]*Table1[[#This Row],[Prix_Unitaire_HT]]</f>
        <v>88.6</v>
      </c>
    </row>
    <row r="1083" spans="1:9" x14ac:dyDescent="0.25">
      <c r="A1083" t="s">
        <v>1415</v>
      </c>
      <c r="B1083" t="s">
        <v>1416</v>
      </c>
      <c r="C1083" s="2" t="str">
        <f t="shared" si="19"/>
        <v>novembre</v>
      </c>
      <c r="D1083" t="s">
        <v>61</v>
      </c>
      <c r="E1083" t="s">
        <v>1577</v>
      </c>
      <c r="F1083">
        <v>4</v>
      </c>
      <c r="G1083" t="s">
        <v>11</v>
      </c>
      <c r="H1083">
        <v>14.72</v>
      </c>
      <c r="I1083">
        <f>Table1[[#This Row],[Quantité corrigé]]*Table1[[#This Row],[Prix_Unitaire_HT]]</f>
        <v>58.88</v>
      </c>
    </row>
    <row r="1084" spans="1:9" x14ac:dyDescent="0.25">
      <c r="A1084" t="s">
        <v>1417</v>
      </c>
      <c r="B1084" t="s">
        <v>1416</v>
      </c>
      <c r="C1084" s="2" t="str">
        <f t="shared" si="19"/>
        <v>novembre</v>
      </c>
      <c r="D1084" t="s">
        <v>61</v>
      </c>
      <c r="E1084" t="s">
        <v>1578</v>
      </c>
      <c r="F1084">
        <v>4</v>
      </c>
      <c r="G1084" t="s">
        <v>11</v>
      </c>
      <c r="H1084">
        <v>13.97</v>
      </c>
      <c r="I1084">
        <f>Table1[[#This Row],[Quantité corrigé]]*Table1[[#This Row],[Prix_Unitaire_HT]]</f>
        <v>55.88</v>
      </c>
    </row>
    <row r="1085" spans="1:9" x14ac:dyDescent="0.25">
      <c r="A1085" t="s">
        <v>1418</v>
      </c>
      <c r="B1085" t="s">
        <v>1416</v>
      </c>
      <c r="C1085" s="2" t="str">
        <f t="shared" si="19"/>
        <v>novembre</v>
      </c>
      <c r="D1085" t="s">
        <v>61</v>
      </c>
      <c r="E1085" t="s">
        <v>1579</v>
      </c>
      <c r="F1085">
        <v>6</v>
      </c>
      <c r="G1085" t="s">
        <v>17</v>
      </c>
      <c r="H1085">
        <v>1.25</v>
      </c>
      <c r="I1085">
        <f>Table1[[#This Row],[Quantité corrigé]]*Table1[[#This Row],[Prix_Unitaire_HT]]</f>
        <v>7.5</v>
      </c>
    </row>
    <row r="1086" spans="1:9" x14ac:dyDescent="0.25">
      <c r="A1086" t="s">
        <v>1419</v>
      </c>
      <c r="B1086" t="s">
        <v>1416</v>
      </c>
      <c r="C1086" s="2" t="str">
        <f t="shared" si="19"/>
        <v>novembre</v>
      </c>
      <c r="D1086" t="s">
        <v>19</v>
      </c>
      <c r="E1086" t="s">
        <v>1580</v>
      </c>
      <c r="F1086">
        <v>8</v>
      </c>
      <c r="G1086" t="s">
        <v>21</v>
      </c>
      <c r="H1086">
        <v>4.2</v>
      </c>
      <c r="I1086">
        <f>Table1[[#This Row],[Quantité corrigé]]*Table1[[#This Row],[Prix_Unitaire_HT]]</f>
        <v>33.6</v>
      </c>
    </row>
    <row r="1087" spans="1:9" x14ac:dyDescent="0.25">
      <c r="A1087" t="s">
        <v>1420</v>
      </c>
      <c r="B1087" t="s">
        <v>1416</v>
      </c>
      <c r="C1087" s="2" t="str">
        <f t="shared" si="19"/>
        <v>novembre</v>
      </c>
      <c r="D1087" t="s">
        <v>19</v>
      </c>
      <c r="E1087" t="s">
        <v>1581</v>
      </c>
      <c r="F1087">
        <v>8</v>
      </c>
      <c r="G1087" t="s">
        <v>25</v>
      </c>
      <c r="H1087">
        <v>23.38</v>
      </c>
      <c r="I1087">
        <f>Table1[[#This Row],[Quantité corrigé]]*Table1[[#This Row],[Prix_Unitaire_HT]]</f>
        <v>187.04</v>
      </c>
    </row>
    <row r="1088" spans="1:9" x14ac:dyDescent="0.25">
      <c r="A1088" t="s">
        <v>1421</v>
      </c>
      <c r="B1088" t="s">
        <v>1416</v>
      </c>
      <c r="C1088" s="2" t="str">
        <f t="shared" si="19"/>
        <v>novembre</v>
      </c>
      <c r="D1088" t="s">
        <v>19</v>
      </c>
      <c r="E1088" t="s">
        <v>1582</v>
      </c>
      <c r="F1088">
        <v>4</v>
      </c>
      <c r="G1088" t="s">
        <v>29</v>
      </c>
      <c r="H1088">
        <v>10.39</v>
      </c>
      <c r="I1088">
        <f>Table1[[#This Row],[Quantité corrigé]]*Table1[[#This Row],[Prix_Unitaire_HT]]</f>
        <v>41.56</v>
      </c>
    </row>
    <row r="1089" spans="1:9" x14ac:dyDescent="0.25">
      <c r="A1089" t="s">
        <v>1422</v>
      </c>
      <c r="B1089" t="s">
        <v>1423</v>
      </c>
      <c r="C1089" s="2" t="str">
        <f t="shared" si="19"/>
        <v>novembre</v>
      </c>
      <c r="D1089" t="s">
        <v>66</v>
      </c>
      <c r="E1089" t="s">
        <v>1583</v>
      </c>
      <c r="F1089">
        <v>8</v>
      </c>
      <c r="G1089" t="s">
        <v>17</v>
      </c>
      <c r="H1089">
        <v>8.8800000000000008</v>
      </c>
      <c r="I1089">
        <f>Table1[[#This Row],[Quantité corrigé]]*Table1[[#This Row],[Prix_Unitaire_HT]]</f>
        <v>71.040000000000006</v>
      </c>
    </row>
    <row r="1090" spans="1:9" x14ac:dyDescent="0.25">
      <c r="A1090" t="s">
        <v>1424</v>
      </c>
      <c r="B1090" t="s">
        <v>1423</v>
      </c>
      <c r="C1090" s="2" t="str">
        <f t="shared" ref="C1090:C1153" si="20">TEXT(DATE(2024,MID(B1090,4,2),_xlfn.TEXTBEFORE(B1090,"/",1)),"mmmm")</f>
        <v>novembre</v>
      </c>
      <c r="D1090" t="s">
        <v>66</v>
      </c>
      <c r="E1090" t="s">
        <v>1584</v>
      </c>
      <c r="F1090">
        <v>10</v>
      </c>
      <c r="G1090" t="s">
        <v>17</v>
      </c>
      <c r="H1090">
        <v>7.32</v>
      </c>
      <c r="I1090">
        <f>Table1[[#This Row],[Quantité corrigé]]*Table1[[#This Row],[Prix_Unitaire_HT]]</f>
        <v>73.2</v>
      </c>
    </row>
    <row r="1091" spans="1:9" x14ac:dyDescent="0.25">
      <c r="A1091" t="s">
        <v>1425</v>
      </c>
      <c r="B1091" t="s">
        <v>1423</v>
      </c>
      <c r="C1091" s="2" t="str">
        <f t="shared" si="20"/>
        <v>novembre</v>
      </c>
      <c r="D1091" t="s">
        <v>69</v>
      </c>
      <c r="E1091" t="s">
        <v>1585</v>
      </c>
      <c r="F1091">
        <v>10</v>
      </c>
      <c r="G1091" t="s">
        <v>39</v>
      </c>
      <c r="H1091">
        <v>5.96</v>
      </c>
      <c r="I1091">
        <f>Table1[[#This Row],[Quantité corrigé]]*Table1[[#This Row],[Prix_Unitaire_HT]]</f>
        <v>59.6</v>
      </c>
    </row>
    <row r="1092" spans="1:9" x14ac:dyDescent="0.25">
      <c r="A1092" t="s">
        <v>1426</v>
      </c>
      <c r="B1092" t="s">
        <v>1423</v>
      </c>
      <c r="C1092" s="2" t="str">
        <f t="shared" si="20"/>
        <v>novembre</v>
      </c>
      <c r="D1092" t="s">
        <v>69</v>
      </c>
      <c r="E1092" t="s">
        <v>1586</v>
      </c>
      <c r="F1092">
        <v>8</v>
      </c>
      <c r="G1092" t="s">
        <v>43</v>
      </c>
      <c r="H1092">
        <v>3.92</v>
      </c>
      <c r="I1092">
        <f>Table1[[#This Row],[Quantité corrigé]]*Table1[[#This Row],[Prix_Unitaire_HT]]</f>
        <v>31.36</v>
      </c>
    </row>
    <row r="1093" spans="1:9" x14ac:dyDescent="0.25">
      <c r="A1093" t="s">
        <v>1427</v>
      </c>
      <c r="B1093" t="s">
        <v>1428</v>
      </c>
      <c r="C1093" s="2" t="str">
        <f t="shared" si="20"/>
        <v>novembre</v>
      </c>
      <c r="D1093" t="s">
        <v>19</v>
      </c>
      <c r="E1093" t="s">
        <v>1580</v>
      </c>
      <c r="F1093">
        <v>8</v>
      </c>
      <c r="G1093" t="s">
        <v>21</v>
      </c>
      <c r="H1093">
        <v>4.3899999999999997</v>
      </c>
      <c r="I1093">
        <f>Table1[[#This Row],[Quantité corrigé]]*Table1[[#This Row],[Prix_Unitaire_HT]]</f>
        <v>35.119999999999997</v>
      </c>
    </row>
    <row r="1094" spans="1:9" x14ac:dyDescent="0.25">
      <c r="A1094" t="s">
        <v>1429</v>
      </c>
      <c r="B1094" t="s">
        <v>1428</v>
      </c>
      <c r="C1094" s="2" t="str">
        <f t="shared" si="20"/>
        <v>novembre</v>
      </c>
      <c r="D1094" t="s">
        <v>19</v>
      </c>
      <c r="E1094" t="s">
        <v>1581</v>
      </c>
      <c r="F1094">
        <v>10</v>
      </c>
      <c r="G1094" t="s">
        <v>25</v>
      </c>
      <c r="H1094">
        <v>21.5</v>
      </c>
      <c r="I1094">
        <f>Table1[[#This Row],[Quantité corrigé]]*Table1[[#This Row],[Prix_Unitaire_HT]]</f>
        <v>215</v>
      </c>
    </row>
    <row r="1095" spans="1:9" x14ac:dyDescent="0.25">
      <c r="A1095" t="s">
        <v>1430</v>
      </c>
      <c r="B1095" t="s">
        <v>1428</v>
      </c>
      <c r="C1095" s="2" t="str">
        <f t="shared" si="20"/>
        <v>novembre</v>
      </c>
      <c r="D1095" t="s">
        <v>19</v>
      </c>
      <c r="E1095" t="s">
        <v>1582</v>
      </c>
      <c r="F1095">
        <v>10</v>
      </c>
      <c r="G1095" t="s">
        <v>29</v>
      </c>
      <c r="H1095">
        <v>10.5</v>
      </c>
      <c r="I1095">
        <f>Table1[[#This Row],[Quantité corrigé]]*Table1[[#This Row],[Prix_Unitaire_HT]]</f>
        <v>105</v>
      </c>
    </row>
    <row r="1096" spans="1:9" x14ac:dyDescent="0.25">
      <c r="A1096" t="s">
        <v>1431</v>
      </c>
      <c r="B1096" t="s">
        <v>1428</v>
      </c>
      <c r="C1096" s="2" t="str">
        <f t="shared" si="20"/>
        <v>novembre</v>
      </c>
      <c r="D1096" t="s">
        <v>50</v>
      </c>
      <c r="E1096" t="s">
        <v>1587</v>
      </c>
      <c r="F1096">
        <v>4</v>
      </c>
      <c r="G1096" t="s">
        <v>52</v>
      </c>
      <c r="H1096">
        <v>19.04</v>
      </c>
      <c r="I1096">
        <f>Table1[[#This Row],[Quantité corrigé]]*Table1[[#This Row],[Prix_Unitaire_HT]]</f>
        <v>76.16</v>
      </c>
    </row>
    <row r="1097" spans="1:9" x14ac:dyDescent="0.25">
      <c r="A1097" t="s">
        <v>1432</v>
      </c>
      <c r="B1097" t="s">
        <v>1428</v>
      </c>
      <c r="C1097" s="2" t="str">
        <f t="shared" si="20"/>
        <v>novembre</v>
      </c>
      <c r="D1097" t="s">
        <v>195</v>
      </c>
      <c r="E1097" t="s">
        <v>1588</v>
      </c>
      <c r="F1097">
        <v>6</v>
      </c>
      <c r="G1097" t="s">
        <v>17</v>
      </c>
      <c r="H1097">
        <v>8.51</v>
      </c>
      <c r="I1097">
        <f>Table1[[#This Row],[Quantité corrigé]]*Table1[[#This Row],[Prix_Unitaire_HT]]</f>
        <v>51.06</v>
      </c>
    </row>
    <row r="1098" spans="1:9" x14ac:dyDescent="0.25">
      <c r="A1098" t="s">
        <v>1433</v>
      </c>
      <c r="B1098" t="s">
        <v>1434</v>
      </c>
      <c r="C1098" s="2" t="str">
        <f t="shared" si="20"/>
        <v>novembre</v>
      </c>
      <c r="D1098" t="s">
        <v>61</v>
      </c>
      <c r="E1098" t="s">
        <v>1577</v>
      </c>
      <c r="F1098">
        <v>5</v>
      </c>
      <c r="G1098" t="s">
        <v>11</v>
      </c>
      <c r="H1098">
        <v>14.27</v>
      </c>
      <c r="I1098">
        <f>Table1[[#This Row],[Quantité corrigé]]*Table1[[#This Row],[Prix_Unitaire_HT]]</f>
        <v>71.349999999999994</v>
      </c>
    </row>
    <row r="1099" spans="1:9" x14ac:dyDescent="0.25">
      <c r="A1099" t="s">
        <v>1435</v>
      </c>
      <c r="B1099" t="s">
        <v>1434</v>
      </c>
      <c r="C1099" s="2" t="str">
        <f t="shared" si="20"/>
        <v>novembre</v>
      </c>
      <c r="D1099" t="s">
        <v>61</v>
      </c>
      <c r="E1099" t="s">
        <v>1578</v>
      </c>
      <c r="F1099">
        <v>4</v>
      </c>
      <c r="G1099" t="s">
        <v>11</v>
      </c>
      <c r="H1099">
        <v>12.96</v>
      </c>
      <c r="I1099">
        <f>Table1[[#This Row],[Quantité corrigé]]*Table1[[#This Row],[Prix_Unitaire_HT]]</f>
        <v>51.84</v>
      </c>
    </row>
    <row r="1100" spans="1:9" x14ac:dyDescent="0.25">
      <c r="A1100" t="s">
        <v>1436</v>
      </c>
      <c r="B1100" t="s">
        <v>1434</v>
      </c>
      <c r="C1100" s="2" t="str">
        <f t="shared" si="20"/>
        <v>novembre</v>
      </c>
      <c r="D1100" t="s">
        <v>61</v>
      </c>
      <c r="E1100" t="s">
        <v>1579</v>
      </c>
      <c r="F1100">
        <v>3</v>
      </c>
      <c r="G1100" t="s">
        <v>17</v>
      </c>
      <c r="H1100">
        <v>1.24</v>
      </c>
      <c r="I1100">
        <f>Table1[[#This Row],[Quantité corrigé]]*Table1[[#This Row],[Prix_Unitaire_HT]]</f>
        <v>3.7199999999999998</v>
      </c>
    </row>
    <row r="1101" spans="1:9" x14ac:dyDescent="0.25">
      <c r="A1101" t="s">
        <v>1437</v>
      </c>
      <c r="B1101" t="s">
        <v>1438</v>
      </c>
      <c r="C1101" s="2" t="str">
        <f t="shared" si="20"/>
        <v>novembre</v>
      </c>
      <c r="D1101" t="s">
        <v>66</v>
      </c>
      <c r="E1101" t="s">
        <v>1583</v>
      </c>
      <c r="F1101">
        <v>10</v>
      </c>
      <c r="G1101" t="s">
        <v>17</v>
      </c>
      <c r="H1101">
        <v>10.33</v>
      </c>
      <c r="I1101">
        <f>Table1[[#This Row],[Quantité corrigé]]*Table1[[#This Row],[Prix_Unitaire_HT]]</f>
        <v>103.3</v>
      </c>
    </row>
    <row r="1102" spans="1:9" x14ac:dyDescent="0.25">
      <c r="A1102" t="s">
        <v>1439</v>
      </c>
      <c r="B1102" t="s">
        <v>1438</v>
      </c>
      <c r="C1102" s="2" t="str">
        <f t="shared" si="20"/>
        <v>novembre</v>
      </c>
      <c r="D1102" t="s">
        <v>66</v>
      </c>
      <c r="E1102" t="s">
        <v>1584</v>
      </c>
      <c r="F1102">
        <v>6</v>
      </c>
      <c r="G1102" t="s">
        <v>17</v>
      </c>
      <c r="H1102">
        <v>7.26</v>
      </c>
      <c r="I1102">
        <f>Table1[[#This Row],[Quantité corrigé]]*Table1[[#This Row],[Prix_Unitaire_HT]]</f>
        <v>43.56</v>
      </c>
    </row>
    <row r="1103" spans="1:9" x14ac:dyDescent="0.25">
      <c r="A1103" t="s">
        <v>1440</v>
      </c>
      <c r="B1103" t="s">
        <v>1438</v>
      </c>
      <c r="C1103" s="2" t="str">
        <f t="shared" si="20"/>
        <v>novembre</v>
      </c>
      <c r="D1103" t="s">
        <v>69</v>
      </c>
      <c r="E1103" t="s">
        <v>1585</v>
      </c>
      <c r="F1103">
        <v>12</v>
      </c>
      <c r="G1103" t="s">
        <v>39</v>
      </c>
      <c r="H1103">
        <v>5.89</v>
      </c>
      <c r="I1103">
        <f>Table1[[#This Row],[Quantité corrigé]]*Table1[[#This Row],[Prix_Unitaire_HT]]</f>
        <v>70.679999999999993</v>
      </c>
    </row>
    <row r="1104" spans="1:9" x14ac:dyDescent="0.25">
      <c r="A1104" t="s">
        <v>1441</v>
      </c>
      <c r="B1104" t="s">
        <v>1438</v>
      </c>
      <c r="C1104" s="2" t="str">
        <f t="shared" si="20"/>
        <v>novembre</v>
      </c>
      <c r="D1104" t="s">
        <v>69</v>
      </c>
      <c r="E1104" t="s">
        <v>1586</v>
      </c>
      <c r="F1104">
        <v>10</v>
      </c>
      <c r="G1104" t="s">
        <v>43</v>
      </c>
      <c r="H1104">
        <v>3.94</v>
      </c>
      <c r="I1104">
        <f>Table1[[#This Row],[Quantité corrigé]]*Table1[[#This Row],[Prix_Unitaire_HT]]</f>
        <v>39.4</v>
      </c>
    </row>
    <row r="1105" spans="1:9" x14ac:dyDescent="0.25">
      <c r="A1105" t="s">
        <v>1442</v>
      </c>
      <c r="B1105" t="s">
        <v>1443</v>
      </c>
      <c r="C1105" s="2" t="str">
        <f t="shared" si="20"/>
        <v>novembre</v>
      </c>
      <c r="D1105" t="s">
        <v>195</v>
      </c>
      <c r="E1105" t="s">
        <v>1588</v>
      </c>
      <c r="F1105">
        <v>4</v>
      </c>
      <c r="G1105" t="s">
        <v>17</v>
      </c>
      <c r="H1105">
        <v>9.1300000000000008</v>
      </c>
      <c r="I1105">
        <f>Table1[[#This Row],[Quantité corrigé]]*Table1[[#This Row],[Prix_Unitaire_HT]]</f>
        <v>36.520000000000003</v>
      </c>
    </row>
    <row r="1106" spans="1:9" x14ac:dyDescent="0.25">
      <c r="A1106" t="s">
        <v>1444</v>
      </c>
      <c r="B1106" t="s">
        <v>1445</v>
      </c>
      <c r="C1106" s="2" t="str">
        <f t="shared" si="20"/>
        <v>décembre</v>
      </c>
      <c r="D1106" t="s">
        <v>61</v>
      </c>
      <c r="E1106" t="s">
        <v>1577</v>
      </c>
      <c r="F1106">
        <v>6</v>
      </c>
      <c r="G1106" t="s">
        <v>11</v>
      </c>
      <c r="H1106">
        <v>14.3</v>
      </c>
      <c r="I1106">
        <f>Table1[[#This Row],[Quantité corrigé]]*Table1[[#This Row],[Prix_Unitaire_HT]]</f>
        <v>85.800000000000011</v>
      </c>
    </row>
    <row r="1107" spans="1:9" x14ac:dyDescent="0.25">
      <c r="A1107" t="s">
        <v>1446</v>
      </c>
      <c r="B1107" t="s">
        <v>1445</v>
      </c>
      <c r="C1107" s="2" t="str">
        <f t="shared" si="20"/>
        <v>décembre</v>
      </c>
      <c r="D1107" t="s">
        <v>61</v>
      </c>
      <c r="E1107" t="s">
        <v>1578</v>
      </c>
      <c r="F1107">
        <v>4</v>
      </c>
      <c r="G1107" t="s">
        <v>11</v>
      </c>
      <c r="H1107">
        <v>13.21</v>
      </c>
      <c r="I1107">
        <f>Table1[[#This Row],[Quantité corrigé]]*Table1[[#This Row],[Prix_Unitaire_HT]]</f>
        <v>52.84</v>
      </c>
    </row>
    <row r="1108" spans="1:9" x14ac:dyDescent="0.25">
      <c r="A1108" t="s">
        <v>1447</v>
      </c>
      <c r="B1108" t="s">
        <v>1445</v>
      </c>
      <c r="C1108" s="2" t="str">
        <f t="shared" si="20"/>
        <v>décembre</v>
      </c>
      <c r="D1108" t="s">
        <v>61</v>
      </c>
      <c r="E1108" t="s">
        <v>1579</v>
      </c>
      <c r="F1108">
        <v>6</v>
      </c>
      <c r="G1108" t="s">
        <v>17</v>
      </c>
      <c r="H1108">
        <v>1.27</v>
      </c>
      <c r="I1108">
        <f>Table1[[#This Row],[Quantité corrigé]]*Table1[[#This Row],[Prix_Unitaire_HT]]</f>
        <v>7.62</v>
      </c>
    </row>
    <row r="1109" spans="1:9" x14ac:dyDescent="0.25">
      <c r="A1109" t="s">
        <v>1448</v>
      </c>
      <c r="B1109" t="s">
        <v>1445</v>
      </c>
      <c r="C1109" s="2" t="str">
        <f t="shared" si="20"/>
        <v>décembre</v>
      </c>
      <c r="D1109" t="s">
        <v>19</v>
      </c>
      <c r="E1109" t="s">
        <v>1580</v>
      </c>
      <c r="F1109">
        <v>8</v>
      </c>
      <c r="G1109" t="s">
        <v>21</v>
      </c>
      <c r="H1109">
        <v>4.41</v>
      </c>
      <c r="I1109">
        <f>Table1[[#This Row],[Quantité corrigé]]*Table1[[#This Row],[Prix_Unitaire_HT]]</f>
        <v>35.28</v>
      </c>
    </row>
    <row r="1110" spans="1:9" x14ac:dyDescent="0.25">
      <c r="A1110" t="s">
        <v>1449</v>
      </c>
      <c r="B1110" t="s">
        <v>1445</v>
      </c>
      <c r="C1110" s="2" t="str">
        <f t="shared" si="20"/>
        <v>décembre</v>
      </c>
      <c r="D1110" t="s">
        <v>19</v>
      </c>
      <c r="E1110" t="s">
        <v>1581</v>
      </c>
      <c r="F1110">
        <v>6</v>
      </c>
      <c r="G1110" t="s">
        <v>25</v>
      </c>
      <c r="H1110">
        <v>22.47</v>
      </c>
      <c r="I1110">
        <f>Table1[[#This Row],[Quantité corrigé]]*Table1[[#This Row],[Prix_Unitaire_HT]]</f>
        <v>134.82</v>
      </c>
    </row>
    <row r="1111" spans="1:9" x14ac:dyDescent="0.25">
      <c r="A1111" t="s">
        <v>1450</v>
      </c>
      <c r="B1111" t="s">
        <v>1445</v>
      </c>
      <c r="C1111" s="2" t="str">
        <f t="shared" si="20"/>
        <v>décembre</v>
      </c>
      <c r="D1111" t="s">
        <v>19</v>
      </c>
      <c r="E1111" t="s">
        <v>1582</v>
      </c>
      <c r="F1111">
        <v>6</v>
      </c>
      <c r="G1111" t="s">
        <v>29</v>
      </c>
      <c r="H1111">
        <v>9.81</v>
      </c>
      <c r="I1111">
        <f>Table1[[#This Row],[Quantité corrigé]]*Table1[[#This Row],[Prix_Unitaire_HT]]</f>
        <v>58.86</v>
      </c>
    </row>
    <row r="1112" spans="1:9" x14ac:dyDescent="0.25">
      <c r="A1112" t="s">
        <v>1451</v>
      </c>
      <c r="B1112" t="s">
        <v>1452</v>
      </c>
      <c r="C1112" s="2" t="str">
        <f t="shared" si="20"/>
        <v>décembre</v>
      </c>
      <c r="D1112" t="s">
        <v>66</v>
      </c>
      <c r="E1112" t="s">
        <v>1583</v>
      </c>
      <c r="F1112">
        <v>6</v>
      </c>
      <c r="G1112" t="s">
        <v>17</v>
      </c>
      <c r="H1112">
        <v>10.25</v>
      </c>
      <c r="I1112">
        <f>Table1[[#This Row],[Quantité corrigé]]*Table1[[#This Row],[Prix_Unitaire_HT]]</f>
        <v>61.5</v>
      </c>
    </row>
    <row r="1113" spans="1:9" x14ac:dyDescent="0.25">
      <c r="A1113" t="s">
        <v>1453</v>
      </c>
      <c r="B1113" t="s">
        <v>1452</v>
      </c>
      <c r="C1113" s="2" t="str">
        <f t="shared" si="20"/>
        <v>décembre</v>
      </c>
      <c r="D1113" t="s">
        <v>66</v>
      </c>
      <c r="E1113" t="s">
        <v>1584</v>
      </c>
      <c r="F1113">
        <v>12</v>
      </c>
      <c r="G1113" t="s">
        <v>17</v>
      </c>
      <c r="H1113">
        <v>7.34</v>
      </c>
      <c r="I1113">
        <f>Table1[[#This Row],[Quantité corrigé]]*Table1[[#This Row],[Prix_Unitaire_HT]]</f>
        <v>88.08</v>
      </c>
    </row>
    <row r="1114" spans="1:9" x14ac:dyDescent="0.25">
      <c r="A1114" t="s">
        <v>1454</v>
      </c>
      <c r="B1114" t="s">
        <v>1452</v>
      </c>
      <c r="C1114" s="2" t="str">
        <f t="shared" si="20"/>
        <v>décembre</v>
      </c>
      <c r="D1114" t="s">
        <v>69</v>
      </c>
      <c r="E1114" t="s">
        <v>1585</v>
      </c>
      <c r="F1114">
        <v>10</v>
      </c>
      <c r="G1114" t="s">
        <v>39</v>
      </c>
      <c r="H1114">
        <v>5.78</v>
      </c>
      <c r="I1114">
        <f>Table1[[#This Row],[Quantité corrigé]]*Table1[[#This Row],[Prix_Unitaire_HT]]</f>
        <v>57.800000000000004</v>
      </c>
    </row>
    <row r="1115" spans="1:9" x14ac:dyDescent="0.25">
      <c r="A1115" t="s">
        <v>1455</v>
      </c>
      <c r="B1115" t="s">
        <v>1452</v>
      </c>
      <c r="C1115" s="2" t="str">
        <f t="shared" si="20"/>
        <v>décembre</v>
      </c>
      <c r="D1115" t="s">
        <v>69</v>
      </c>
      <c r="E1115" t="s">
        <v>1586</v>
      </c>
      <c r="F1115">
        <v>10</v>
      </c>
      <c r="G1115" t="s">
        <v>43</v>
      </c>
      <c r="H1115">
        <v>3.86</v>
      </c>
      <c r="I1115">
        <f>Table1[[#This Row],[Quantité corrigé]]*Table1[[#This Row],[Prix_Unitaire_HT]]</f>
        <v>38.6</v>
      </c>
    </row>
    <row r="1116" spans="1:9" x14ac:dyDescent="0.25">
      <c r="A1116" t="s">
        <v>1456</v>
      </c>
      <c r="B1116" t="s">
        <v>1457</v>
      </c>
      <c r="C1116" s="2" t="str">
        <f t="shared" si="20"/>
        <v>décembre</v>
      </c>
      <c r="D1116" t="s">
        <v>19</v>
      </c>
      <c r="E1116" t="s">
        <v>1580</v>
      </c>
      <c r="F1116">
        <v>8</v>
      </c>
      <c r="G1116" t="s">
        <v>21</v>
      </c>
      <c r="H1116">
        <v>4.33</v>
      </c>
      <c r="I1116">
        <f>Table1[[#This Row],[Quantité corrigé]]*Table1[[#This Row],[Prix_Unitaire_HT]]</f>
        <v>34.64</v>
      </c>
    </row>
    <row r="1117" spans="1:9" x14ac:dyDescent="0.25">
      <c r="A1117" t="s">
        <v>1458</v>
      </c>
      <c r="B1117" t="s">
        <v>1457</v>
      </c>
      <c r="C1117" s="2" t="str">
        <f t="shared" si="20"/>
        <v>décembre</v>
      </c>
      <c r="D1117" t="s">
        <v>19</v>
      </c>
      <c r="E1117" t="s">
        <v>1581</v>
      </c>
      <c r="F1117">
        <v>4</v>
      </c>
      <c r="G1117" t="s">
        <v>25</v>
      </c>
      <c r="H1117">
        <v>21.44</v>
      </c>
      <c r="I1117">
        <f>Table1[[#This Row],[Quantité corrigé]]*Table1[[#This Row],[Prix_Unitaire_HT]]</f>
        <v>85.76</v>
      </c>
    </row>
    <row r="1118" spans="1:9" x14ac:dyDescent="0.25">
      <c r="A1118" t="s">
        <v>1459</v>
      </c>
      <c r="B1118" t="s">
        <v>1457</v>
      </c>
      <c r="C1118" s="2" t="str">
        <f t="shared" si="20"/>
        <v>décembre</v>
      </c>
      <c r="D1118" t="s">
        <v>19</v>
      </c>
      <c r="E1118" t="s">
        <v>1582</v>
      </c>
      <c r="F1118">
        <v>4</v>
      </c>
      <c r="G1118" t="s">
        <v>29</v>
      </c>
      <c r="H1118">
        <v>9.5500000000000007</v>
      </c>
      <c r="I1118">
        <f>Table1[[#This Row],[Quantité corrigé]]*Table1[[#This Row],[Prix_Unitaire_HT]]</f>
        <v>38.200000000000003</v>
      </c>
    </row>
    <row r="1119" spans="1:9" x14ac:dyDescent="0.25">
      <c r="A1119" t="s">
        <v>1460</v>
      </c>
      <c r="B1119" t="s">
        <v>1457</v>
      </c>
      <c r="C1119" s="2" t="str">
        <f t="shared" si="20"/>
        <v>décembre</v>
      </c>
      <c r="D1119" t="s">
        <v>50</v>
      </c>
      <c r="E1119" t="s">
        <v>1587</v>
      </c>
      <c r="F1119">
        <v>2</v>
      </c>
      <c r="G1119" t="s">
        <v>52</v>
      </c>
      <c r="H1119">
        <v>18.95</v>
      </c>
      <c r="I1119">
        <f>Table1[[#This Row],[Quantité corrigé]]*Table1[[#This Row],[Prix_Unitaire_HT]]</f>
        <v>37.9</v>
      </c>
    </row>
    <row r="1120" spans="1:9" x14ac:dyDescent="0.25">
      <c r="A1120" t="s">
        <v>1461</v>
      </c>
      <c r="B1120" t="s">
        <v>1457</v>
      </c>
      <c r="C1120" s="2" t="str">
        <f t="shared" si="20"/>
        <v>décembre</v>
      </c>
      <c r="D1120" t="s">
        <v>195</v>
      </c>
      <c r="E1120" t="s">
        <v>1588</v>
      </c>
      <c r="F1120">
        <v>10</v>
      </c>
      <c r="G1120" t="s">
        <v>17</v>
      </c>
      <c r="H1120">
        <v>8.58</v>
      </c>
      <c r="I1120">
        <f>Table1[[#This Row],[Quantité corrigé]]*Table1[[#This Row],[Prix_Unitaire_HT]]</f>
        <v>85.8</v>
      </c>
    </row>
    <row r="1121" spans="1:9" x14ac:dyDescent="0.25">
      <c r="A1121" t="s">
        <v>1462</v>
      </c>
      <c r="B1121" t="s">
        <v>1463</v>
      </c>
      <c r="C1121" s="2" t="str">
        <f t="shared" si="20"/>
        <v>décembre</v>
      </c>
      <c r="D1121" t="s">
        <v>61</v>
      </c>
      <c r="E1121" t="s">
        <v>1577</v>
      </c>
      <c r="F1121">
        <v>5</v>
      </c>
      <c r="G1121" t="s">
        <v>11</v>
      </c>
      <c r="H1121">
        <v>14.99</v>
      </c>
      <c r="I1121">
        <f>Table1[[#This Row],[Quantité corrigé]]*Table1[[#This Row],[Prix_Unitaire_HT]]</f>
        <v>74.95</v>
      </c>
    </row>
    <row r="1122" spans="1:9" x14ac:dyDescent="0.25">
      <c r="A1122" t="s">
        <v>1464</v>
      </c>
      <c r="B1122" t="s">
        <v>1463</v>
      </c>
      <c r="C1122" s="2" t="str">
        <f t="shared" si="20"/>
        <v>décembre</v>
      </c>
      <c r="D1122" t="s">
        <v>61</v>
      </c>
      <c r="E1122" t="s">
        <v>1578</v>
      </c>
      <c r="F1122">
        <v>6</v>
      </c>
      <c r="G1122" t="s">
        <v>11</v>
      </c>
      <c r="H1122">
        <v>13.63</v>
      </c>
      <c r="I1122">
        <f>Table1[[#This Row],[Quantité corrigé]]*Table1[[#This Row],[Prix_Unitaire_HT]]</f>
        <v>81.78</v>
      </c>
    </row>
    <row r="1123" spans="1:9" x14ac:dyDescent="0.25">
      <c r="A1123" t="s">
        <v>1465</v>
      </c>
      <c r="B1123" t="s">
        <v>1463</v>
      </c>
      <c r="C1123" s="2" t="str">
        <f t="shared" si="20"/>
        <v>décembre</v>
      </c>
      <c r="D1123" t="s">
        <v>61</v>
      </c>
      <c r="E1123" t="s">
        <v>1579</v>
      </c>
      <c r="F1123">
        <v>4</v>
      </c>
      <c r="G1123" t="s">
        <v>17</v>
      </c>
      <c r="H1123">
        <v>1.17</v>
      </c>
      <c r="I1123">
        <f>Table1[[#This Row],[Quantité corrigé]]*Table1[[#This Row],[Prix_Unitaire_HT]]</f>
        <v>4.68</v>
      </c>
    </row>
    <row r="1124" spans="1:9" x14ac:dyDescent="0.25">
      <c r="A1124" t="s">
        <v>1466</v>
      </c>
      <c r="B1124" t="s">
        <v>1467</v>
      </c>
      <c r="C1124" s="2" t="str">
        <f t="shared" si="20"/>
        <v>décembre</v>
      </c>
      <c r="D1124" t="s">
        <v>66</v>
      </c>
      <c r="E1124" t="s">
        <v>1583</v>
      </c>
      <c r="F1124">
        <v>6</v>
      </c>
      <c r="G1124" t="s">
        <v>17</v>
      </c>
      <c r="H1124">
        <v>9.6</v>
      </c>
      <c r="I1124">
        <f>Table1[[#This Row],[Quantité corrigé]]*Table1[[#This Row],[Prix_Unitaire_HT]]</f>
        <v>57.599999999999994</v>
      </c>
    </row>
    <row r="1125" spans="1:9" x14ac:dyDescent="0.25">
      <c r="A1125" t="s">
        <v>1468</v>
      </c>
      <c r="B1125" t="s">
        <v>1467</v>
      </c>
      <c r="C1125" s="2" t="str">
        <f t="shared" si="20"/>
        <v>décembre</v>
      </c>
      <c r="D1125" t="s">
        <v>66</v>
      </c>
      <c r="E1125" t="s">
        <v>1584</v>
      </c>
      <c r="F1125">
        <v>5</v>
      </c>
      <c r="G1125" t="s">
        <v>17</v>
      </c>
      <c r="H1125">
        <v>7.57</v>
      </c>
      <c r="I1125">
        <f>Table1[[#This Row],[Quantité corrigé]]*Table1[[#This Row],[Prix_Unitaire_HT]]</f>
        <v>37.85</v>
      </c>
    </row>
    <row r="1126" spans="1:9" x14ac:dyDescent="0.25">
      <c r="A1126" t="s">
        <v>1469</v>
      </c>
      <c r="B1126" t="s">
        <v>1467</v>
      </c>
      <c r="C1126" s="2" t="str">
        <f t="shared" si="20"/>
        <v>décembre</v>
      </c>
      <c r="D1126" t="s">
        <v>69</v>
      </c>
      <c r="E1126" t="s">
        <v>1585</v>
      </c>
      <c r="F1126">
        <v>12</v>
      </c>
      <c r="G1126" t="s">
        <v>39</v>
      </c>
      <c r="H1126">
        <v>5.82</v>
      </c>
      <c r="I1126">
        <f>Table1[[#This Row],[Quantité corrigé]]*Table1[[#This Row],[Prix_Unitaire_HT]]</f>
        <v>69.84</v>
      </c>
    </row>
    <row r="1127" spans="1:9" x14ac:dyDescent="0.25">
      <c r="A1127" t="s">
        <v>1470</v>
      </c>
      <c r="B1127" t="s">
        <v>1467</v>
      </c>
      <c r="C1127" s="2" t="str">
        <f t="shared" si="20"/>
        <v>décembre</v>
      </c>
      <c r="D1127" t="s">
        <v>69</v>
      </c>
      <c r="E1127" t="s">
        <v>1586</v>
      </c>
      <c r="F1127">
        <v>5</v>
      </c>
      <c r="G1127" t="s">
        <v>43</v>
      </c>
      <c r="H1127">
        <v>3.87</v>
      </c>
      <c r="I1127">
        <f>Table1[[#This Row],[Quantité corrigé]]*Table1[[#This Row],[Prix_Unitaire_HT]]</f>
        <v>19.350000000000001</v>
      </c>
    </row>
    <row r="1128" spans="1:9" x14ac:dyDescent="0.25">
      <c r="A1128" t="s">
        <v>1471</v>
      </c>
      <c r="B1128" t="s">
        <v>1472</v>
      </c>
      <c r="C1128" s="2" t="str">
        <f t="shared" si="20"/>
        <v>décembre</v>
      </c>
      <c r="D1128" t="s">
        <v>195</v>
      </c>
      <c r="E1128" t="s">
        <v>1588</v>
      </c>
      <c r="F1128">
        <v>8</v>
      </c>
      <c r="G1128" t="s">
        <v>17</v>
      </c>
      <c r="H1128">
        <v>9.0399999999999991</v>
      </c>
      <c r="I1128">
        <f>Table1[[#This Row],[Quantité corrigé]]*Table1[[#This Row],[Prix_Unitaire_HT]]</f>
        <v>72.319999999999993</v>
      </c>
    </row>
    <row r="1129" spans="1:9" x14ac:dyDescent="0.25">
      <c r="A1129" t="s">
        <v>1473</v>
      </c>
      <c r="B1129" t="s">
        <v>1474</v>
      </c>
      <c r="C1129" s="2" t="str">
        <f t="shared" si="20"/>
        <v>décembre</v>
      </c>
      <c r="D1129" t="s">
        <v>61</v>
      </c>
      <c r="E1129" t="s">
        <v>1577</v>
      </c>
      <c r="F1129">
        <v>3</v>
      </c>
      <c r="G1129" t="s">
        <v>11</v>
      </c>
      <c r="H1129">
        <v>14.93</v>
      </c>
      <c r="I1129">
        <f>Table1[[#This Row],[Quantité corrigé]]*Table1[[#This Row],[Prix_Unitaire_HT]]</f>
        <v>44.79</v>
      </c>
    </row>
    <row r="1130" spans="1:9" x14ac:dyDescent="0.25">
      <c r="A1130" t="s">
        <v>1475</v>
      </c>
      <c r="B1130" t="s">
        <v>1474</v>
      </c>
      <c r="C1130" s="2" t="str">
        <f t="shared" si="20"/>
        <v>décembre</v>
      </c>
      <c r="D1130" t="s">
        <v>61</v>
      </c>
      <c r="E1130" t="s">
        <v>1578</v>
      </c>
      <c r="F1130">
        <v>5</v>
      </c>
      <c r="G1130" t="s">
        <v>11</v>
      </c>
      <c r="H1130">
        <v>13.38</v>
      </c>
      <c r="I1130">
        <f>Table1[[#This Row],[Quantité corrigé]]*Table1[[#This Row],[Prix_Unitaire_HT]]</f>
        <v>66.900000000000006</v>
      </c>
    </row>
    <row r="1131" spans="1:9" x14ac:dyDescent="0.25">
      <c r="A1131" t="s">
        <v>1476</v>
      </c>
      <c r="B1131" t="s">
        <v>1474</v>
      </c>
      <c r="C1131" s="2" t="str">
        <f t="shared" si="20"/>
        <v>décembre</v>
      </c>
      <c r="D1131" t="s">
        <v>61</v>
      </c>
      <c r="E1131" t="s">
        <v>1579</v>
      </c>
      <c r="F1131">
        <v>3</v>
      </c>
      <c r="G1131" t="s">
        <v>17</v>
      </c>
      <c r="H1131">
        <v>1.26</v>
      </c>
      <c r="I1131">
        <f>Table1[[#This Row],[Quantité corrigé]]*Table1[[#This Row],[Prix_Unitaire_HT]]</f>
        <v>3.7800000000000002</v>
      </c>
    </row>
    <row r="1132" spans="1:9" x14ac:dyDescent="0.25">
      <c r="A1132" t="s">
        <v>1477</v>
      </c>
      <c r="B1132" t="s">
        <v>1474</v>
      </c>
      <c r="C1132" s="2" t="str">
        <f t="shared" si="20"/>
        <v>décembre</v>
      </c>
      <c r="D1132" t="s">
        <v>19</v>
      </c>
      <c r="E1132" t="s">
        <v>1580</v>
      </c>
      <c r="F1132">
        <v>10</v>
      </c>
      <c r="G1132" t="s">
        <v>21</v>
      </c>
      <c r="H1132">
        <v>4.12</v>
      </c>
      <c r="I1132">
        <f>Table1[[#This Row],[Quantité corrigé]]*Table1[[#This Row],[Prix_Unitaire_HT]]</f>
        <v>41.2</v>
      </c>
    </row>
    <row r="1133" spans="1:9" x14ac:dyDescent="0.25">
      <c r="A1133" t="s">
        <v>1478</v>
      </c>
      <c r="B1133" t="s">
        <v>1474</v>
      </c>
      <c r="C1133" s="2" t="str">
        <f t="shared" si="20"/>
        <v>décembre</v>
      </c>
      <c r="D1133" t="s">
        <v>19</v>
      </c>
      <c r="E1133" t="s">
        <v>1581</v>
      </c>
      <c r="F1133">
        <v>4</v>
      </c>
      <c r="G1133" t="s">
        <v>25</v>
      </c>
      <c r="H1133">
        <v>23.17</v>
      </c>
      <c r="I1133">
        <f>Table1[[#This Row],[Quantité corrigé]]*Table1[[#This Row],[Prix_Unitaire_HT]]</f>
        <v>92.68</v>
      </c>
    </row>
    <row r="1134" spans="1:9" x14ac:dyDescent="0.25">
      <c r="A1134" t="s">
        <v>1479</v>
      </c>
      <c r="B1134" t="s">
        <v>1474</v>
      </c>
      <c r="C1134" s="2" t="str">
        <f t="shared" si="20"/>
        <v>décembre</v>
      </c>
      <c r="D1134" t="s">
        <v>19</v>
      </c>
      <c r="E1134" t="s">
        <v>1582</v>
      </c>
      <c r="F1134">
        <v>4</v>
      </c>
      <c r="G1134" t="s">
        <v>29</v>
      </c>
      <c r="H1134">
        <v>9.32</v>
      </c>
      <c r="I1134">
        <f>Table1[[#This Row],[Quantité corrigé]]*Table1[[#This Row],[Prix_Unitaire_HT]]</f>
        <v>37.28</v>
      </c>
    </row>
    <row r="1135" spans="1:9" x14ac:dyDescent="0.25">
      <c r="A1135" t="s">
        <v>1480</v>
      </c>
      <c r="B1135" t="s">
        <v>1481</v>
      </c>
      <c r="C1135" s="2" t="str">
        <f t="shared" si="20"/>
        <v>décembre</v>
      </c>
      <c r="D1135" t="s">
        <v>66</v>
      </c>
      <c r="E1135" t="s">
        <v>1583</v>
      </c>
      <c r="F1135">
        <v>6</v>
      </c>
      <c r="G1135" t="s">
        <v>17</v>
      </c>
      <c r="H1135">
        <v>9.93</v>
      </c>
      <c r="I1135">
        <f>Table1[[#This Row],[Quantité corrigé]]*Table1[[#This Row],[Prix_Unitaire_HT]]</f>
        <v>59.58</v>
      </c>
    </row>
    <row r="1136" spans="1:9" x14ac:dyDescent="0.25">
      <c r="A1136" t="s">
        <v>1482</v>
      </c>
      <c r="B1136" t="s">
        <v>1481</v>
      </c>
      <c r="C1136" s="2" t="str">
        <f t="shared" si="20"/>
        <v>décembre</v>
      </c>
      <c r="D1136" t="s">
        <v>66</v>
      </c>
      <c r="E1136" t="s">
        <v>1584</v>
      </c>
      <c r="F1136">
        <v>10</v>
      </c>
      <c r="G1136" t="s">
        <v>17</v>
      </c>
      <c r="H1136">
        <v>6.91</v>
      </c>
      <c r="I1136">
        <f>Table1[[#This Row],[Quantité corrigé]]*Table1[[#This Row],[Prix_Unitaire_HT]]</f>
        <v>69.099999999999994</v>
      </c>
    </row>
    <row r="1137" spans="1:9" x14ac:dyDescent="0.25">
      <c r="A1137" t="s">
        <v>1483</v>
      </c>
      <c r="B1137" t="s">
        <v>1481</v>
      </c>
      <c r="C1137" s="2" t="str">
        <f t="shared" si="20"/>
        <v>décembre</v>
      </c>
      <c r="D1137" t="s">
        <v>69</v>
      </c>
      <c r="E1137" t="s">
        <v>1585</v>
      </c>
      <c r="F1137">
        <v>5</v>
      </c>
      <c r="G1137" t="s">
        <v>39</v>
      </c>
      <c r="H1137">
        <v>6.01</v>
      </c>
      <c r="I1137">
        <f>Table1[[#This Row],[Quantité corrigé]]*Table1[[#This Row],[Prix_Unitaire_HT]]</f>
        <v>30.049999999999997</v>
      </c>
    </row>
    <row r="1138" spans="1:9" x14ac:dyDescent="0.25">
      <c r="A1138" t="s">
        <v>1484</v>
      </c>
      <c r="B1138" t="s">
        <v>1481</v>
      </c>
      <c r="C1138" s="2" t="str">
        <f t="shared" si="20"/>
        <v>décembre</v>
      </c>
      <c r="D1138" t="s">
        <v>69</v>
      </c>
      <c r="E1138" t="s">
        <v>1586</v>
      </c>
      <c r="F1138">
        <v>5</v>
      </c>
      <c r="G1138" t="s">
        <v>43</v>
      </c>
      <c r="H1138">
        <v>3.99</v>
      </c>
      <c r="I1138">
        <f>Table1[[#This Row],[Quantité corrigé]]*Table1[[#This Row],[Prix_Unitaire_HT]]</f>
        <v>19.950000000000003</v>
      </c>
    </row>
    <row r="1139" spans="1:9" x14ac:dyDescent="0.25">
      <c r="A1139" t="s">
        <v>1485</v>
      </c>
      <c r="B1139" t="s">
        <v>1486</v>
      </c>
      <c r="C1139" s="2" t="str">
        <f t="shared" si="20"/>
        <v>décembre</v>
      </c>
      <c r="D1139" t="s">
        <v>19</v>
      </c>
      <c r="E1139" t="s">
        <v>1580</v>
      </c>
      <c r="F1139">
        <v>8</v>
      </c>
      <c r="G1139" t="s">
        <v>21</v>
      </c>
      <c r="H1139">
        <v>4.16</v>
      </c>
      <c r="I1139">
        <f>Table1[[#This Row],[Quantité corrigé]]*Table1[[#This Row],[Prix_Unitaire_HT]]</f>
        <v>33.28</v>
      </c>
    </row>
    <row r="1140" spans="1:9" x14ac:dyDescent="0.25">
      <c r="A1140" t="s">
        <v>1487</v>
      </c>
      <c r="B1140" t="s">
        <v>1486</v>
      </c>
      <c r="C1140" s="2" t="str">
        <f t="shared" si="20"/>
        <v>décembre</v>
      </c>
      <c r="D1140" t="s">
        <v>19</v>
      </c>
      <c r="E1140" t="s">
        <v>1581</v>
      </c>
      <c r="F1140">
        <v>4</v>
      </c>
      <c r="G1140" t="s">
        <v>25</v>
      </c>
      <c r="H1140">
        <v>23</v>
      </c>
      <c r="I1140">
        <f>Table1[[#This Row],[Quantité corrigé]]*Table1[[#This Row],[Prix_Unitaire_HT]]</f>
        <v>92</v>
      </c>
    </row>
    <row r="1141" spans="1:9" x14ac:dyDescent="0.25">
      <c r="A1141" t="s">
        <v>1488</v>
      </c>
      <c r="B1141" t="s">
        <v>1486</v>
      </c>
      <c r="C1141" s="2" t="str">
        <f t="shared" si="20"/>
        <v>décembre</v>
      </c>
      <c r="D1141" t="s">
        <v>19</v>
      </c>
      <c r="E1141" t="s">
        <v>1582</v>
      </c>
      <c r="F1141">
        <v>8</v>
      </c>
      <c r="G1141" t="s">
        <v>29</v>
      </c>
      <c r="H1141">
        <v>10.23</v>
      </c>
      <c r="I1141">
        <f>Table1[[#This Row],[Quantité corrigé]]*Table1[[#This Row],[Prix_Unitaire_HT]]</f>
        <v>81.84</v>
      </c>
    </row>
    <row r="1142" spans="1:9" x14ac:dyDescent="0.25">
      <c r="A1142" t="s">
        <v>1489</v>
      </c>
      <c r="B1142" t="s">
        <v>1486</v>
      </c>
      <c r="C1142" s="2" t="str">
        <f t="shared" si="20"/>
        <v>décembre</v>
      </c>
      <c r="D1142" t="s">
        <v>50</v>
      </c>
      <c r="E1142" t="s">
        <v>1587</v>
      </c>
      <c r="F1142">
        <v>4</v>
      </c>
      <c r="G1142" t="s">
        <v>52</v>
      </c>
      <c r="H1142">
        <v>18.940000000000001</v>
      </c>
      <c r="I1142">
        <f>Table1[[#This Row],[Quantité corrigé]]*Table1[[#This Row],[Prix_Unitaire_HT]]</f>
        <v>75.760000000000005</v>
      </c>
    </row>
    <row r="1143" spans="1:9" x14ac:dyDescent="0.25">
      <c r="A1143" t="s">
        <v>1490</v>
      </c>
      <c r="B1143" t="s">
        <v>1486</v>
      </c>
      <c r="C1143" s="2" t="str">
        <f t="shared" si="20"/>
        <v>décembre</v>
      </c>
      <c r="D1143" t="s">
        <v>195</v>
      </c>
      <c r="E1143" t="s">
        <v>1588</v>
      </c>
      <c r="F1143">
        <v>6</v>
      </c>
      <c r="G1143" t="s">
        <v>17</v>
      </c>
      <c r="H1143">
        <v>8.64</v>
      </c>
      <c r="I1143">
        <f>Table1[[#This Row],[Quantité corrigé]]*Table1[[#This Row],[Prix_Unitaire_HT]]</f>
        <v>51.84</v>
      </c>
    </row>
    <row r="1144" spans="1:9" x14ac:dyDescent="0.25">
      <c r="A1144" t="s">
        <v>1491</v>
      </c>
      <c r="B1144" t="s">
        <v>1492</v>
      </c>
      <c r="C1144" s="2" t="str">
        <f t="shared" si="20"/>
        <v>décembre</v>
      </c>
      <c r="D1144" t="s">
        <v>61</v>
      </c>
      <c r="E1144" t="s">
        <v>1577</v>
      </c>
      <c r="F1144">
        <v>6</v>
      </c>
      <c r="G1144" t="s">
        <v>11</v>
      </c>
      <c r="H1144">
        <v>14.32</v>
      </c>
      <c r="I1144">
        <f>Table1[[#This Row],[Quantité corrigé]]*Table1[[#This Row],[Prix_Unitaire_HT]]</f>
        <v>85.92</v>
      </c>
    </row>
    <row r="1145" spans="1:9" x14ac:dyDescent="0.25">
      <c r="A1145" t="s">
        <v>1493</v>
      </c>
      <c r="B1145" t="s">
        <v>1492</v>
      </c>
      <c r="C1145" s="2" t="str">
        <f t="shared" si="20"/>
        <v>décembre</v>
      </c>
      <c r="D1145" t="s">
        <v>61</v>
      </c>
      <c r="E1145" t="s">
        <v>1578</v>
      </c>
      <c r="F1145">
        <v>4</v>
      </c>
      <c r="G1145" t="s">
        <v>11</v>
      </c>
      <c r="H1145">
        <v>12.89</v>
      </c>
      <c r="I1145">
        <f>Table1[[#This Row],[Quantité corrigé]]*Table1[[#This Row],[Prix_Unitaire_HT]]</f>
        <v>51.56</v>
      </c>
    </row>
    <row r="1146" spans="1:9" x14ac:dyDescent="0.25">
      <c r="A1146" t="s">
        <v>1494</v>
      </c>
      <c r="B1146" t="s">
        <v>1492</v>
      </c>
      <c r="C1146" s="2" t="str">
        <f t="shared" si="20"/>
        <v>décembre</v>
      </c>
      <c r="D1146" t="s">
        <v>61</v>
      </c>
      <c r="E1146" t="s">
        <v>1579</v>
      </c>
      <c r="F1146">
        <v>5</v>
      </c>
      <c r="G1146" t="s">
        <v>17</v>
      </c>
      <c r="H1146">
        <v>1.22</v>
      </c>
      <c r="I1146">
        <f>Table1[[#This Row],[Quantité corrigé]]*Table1[[#This Row],[Prix_Unitaire_HT]]</f>
        <v>6.1</v>
      </c>
    </row>
    <row r="1147" spans="1:9" x14ac:dyDescent="0.25">
      <c r="A1147" t="s">
        <v>1495</v>
      </c>
      <c r="B1147" t="s">
        <v>1496</v>
      </c>
      <c r="C1147" s="2" t="str">
        <f t="shared" si="20"/>
        <v>décembre</v>
      </c>
      <c r="D1147" t="s">
        <v>66</v>
      </c>
      <c r="E1147" t="s">
        <v>1583</v>
      </c>
      <c r="F1147">
        <v>5</v>
      </c>
      <c r="G1147" t="s">
        <v>17</v>
      </c>
      <c r="H1147">
        <v>10.029999999999999</v>
      </c>
      <c r="I1147">
        <f>Table1[[#This Row],[Quantité corrigé]]*Table1[[#This Row],[Prix_Unitaire_HT]]</f>
        <v>50.15</v>
      </c>
    </row>
    <row r="1148" spans="1:9" x14ac:dyDescent="0.25">
      <c r="A1148" t="s">
        <v>1497</v>
      </c>
      <c r="B1148" t="s">
        <v>1496</v>
      </c>
      <c r="C1148" s="2" t="str">
        <f t="shared" si="20"/>
        <v>décembre</v>
      </c>
      <c r="D1148" t="s">
        <v>66</v>
      </c>
      <c r="E1148" t="s">
        <v>1584</v>
      </c>
      <c r="F1148">
        <v>6</v>
      </c>
      <c r="G1148" t="s">
        <v>17</v>
      </c>
      <c r="H1148">
        <v>7.52</v>
      </c>
      <c r="I1148">
        <f>Table1[[#This Row],[Quantité corrigé]]*Table1[[#This Row],[Prix_Unitaire_HT]]</f>
        <v>45.12</v>
      </c>
    </row>
    <row r="1149" spans="1:9" x14ac:dyDescent="0.25">
      <c r="A1149" t="s">
        <v>1498</v>
      </c>
      <c r="B1149" t="s">
        <v>1496</v>
      </c>
      <c r="C1149" s="2" t="str">
        <f t="shared" si="20"/>
        <v>décembre</v>
      </c>
      <c r="D1149" t="s">
        <v>69</v>
      </c>
      <c r="E1149" t="s">
        <v>1585</v>
      </c>
      <c r="F1149">
        <v>12</v>
      </c>
      <c r="G1149" t="s">
        <v>39</v>
      </c>
      <c r="H1149">
        <v>5.91</v>
      </c>
      <c r="I1149">
        <f>Table1[[#This Row],[Quantité corrigé]]*Table1[[#This Row],[Prix_Unitaire_HT]]</f>
        <v>70.92</v>
      </c>
    </row>
    <row r="1150" spans="1:9" x14ac:dyDescent="0.25">
      <c r="A1150" t="s">
        <v>1499</v>
      </c>
      <c r="B1150" t="s">
        <v>1496</v>
      </c>
      <c r="C1150" s="2" t="str">
        <f t="shared" si="20"/>
        <v>décembre</v>
      </c>
      <c r="D1150" t="s">
        <v>69</v>
      </c>
      <c r="E1150" t="s">
        <v>1586</v>
      </c>
      <c r="F1150">
        <v>8</v>
      </c>
      <c r="G1150" t="s">
        <v>43</v>
      </c>
      <c r="H1150">
        <v>4</v>
      </c>
      <c r="I1150">
        <f>Table1[[#This Row],[Quantité corrigé]]*Table1[[#This Row],[Prix_Unitaire_HT]]</f>
        <v>32</v>
      </c>
    </row>
    <row r="1151" spans="1:9" x14ac:dyDescent="0.25">
      <c r="A1151" t="s">
        <v>1500</v>
      </c>
      <c r="B1151" t="s">
        <v>1501</v>
      </c>
      <c r="C1151" s="2" t="str">
        <f t="shared" si="20"/>
        <v>décembre</v>
      </c>
      <c r="D1151" t="s">
        <v>195</v>
      </c>
      <c r="E1151" t="s">
        <v>1588</v>
      </c>
      <c r="F1151">
        <v>8</v>
      </c>
      <c r="G1151" t="s">
        <v>17</v>
      </c>
      <c r="H1151">
        <v>8.9499999999999993</v>
      </c>
      <c r="I1151">
        <f>Table1[[#This Row],[Quantité corrigé]]*Table1[[#This Row],[Prix_Unitaire_HT]]</f>
        <v>71.599999999999994</v>
      </c>
    </row>
    <row r="1152" spans="1:9" x14ac:dyDescent="0.25">
      <c r="A1152" t="s">
        <v>1502</v>
      </c>
      <c r="B1152" t="s">
        <v>1503</v>
      </c>
      <c r="C1152" s="2" t="str">
        <f t="shared" si="20"/>
        <v>décembre</v>
      </c>
      <c r="D1152" t="s">
        <v>61</v>
      </c>
      <c r="E1152" t="s">
        <v>1577</v>
      </c>
      <c r="F1152">
        <v>3</v>
      </c>
      <c r="G1152" t="s">
        <v>11</v>
      </c>
      <c r="H1152">
        <v>14.02</v>
      </c>
      <c r="I1152">
        <f>Table1[[#This Row],[Quantité corrigé]]*Table1[[#This Row],[Prix_Unitaire_HT]]</f>
        <v>42.06</v>
      </c>
    </row>
    <row r="1153" spans="1:9" x14ac:dyDescent="0.25">
      <c r="A1153" t="s">
        <v>1504</v>
      </c>
      <c r="B1153" t="s">
        <v>1503</v>
      </c>
      <c r="C1153" s="2" t="str">
        <f t="shared" si="20"/>
        <v>décembre</v>
      </c>
      <c r="D1153" t="s">
        <v>61</v>
      </c>
      <c r="E1153" t="s">
        <v>1578</v>
      </c>
      <c r="F1153">
        <v>3</v>
      </c>
      <c r="G1153" t="s">
        <v>11</v>
      </c>
      <c r="H1153">
        <v>13.04</v>
      </c>
      <c r="I1153">
        <f>Table1[[#This Row],[Quantité corrigé]]*Table1[[#This Row],[Prix_Unitaire_HT]]</f>
        <v>39.119999999999997</v>
      </c>
    </row>
    <row r="1154" spans="1:9" x14ac:dyDescent="0.25">
      <c r="A1154" t="s">
        <v>1505</v>
      </c>
      <c r="B1154" t="s">
        <v>1503</v>
      </c>
      <c r="C1154" s="2" t="str">
        <f t="shared" ref="C1154:C1207" si="21">TEXT(DATE(2024,MID(B1154,4,2),_xlfn.TEXTBEFORE(B1154,"/",1)),"mmmm")</f>
        <v>décembre</v>
      </c>
      <c r="D1154" t="s">
        <v>61</v>
      </c>
      <c r="E1154" t="s">
        <v>1579</v>
      </c>
      <c r="F1154">
        <v>3</v>
      </c>
      <c r="G1154" t="s">
        <v>17</v>
      </c>
      <c r="H1154">
        <v>1.23</v>
      </c>
      <c r="I1154">
        <f>Table1[[#This Row],[Quantité corrigé]]*Table1[[#This Row],[Prix_Unitaire_HT]]</f>
        <v>3.69</v>
      </c>
    </row>
    <row r="1155" spans="1:9" x14ac:dyDescent="0.25">
      <c r="A1155" t="s">
        <v>1506</v>
      </c>
      <c r="B1155" t="s">
        <v>1503</v>
      </c>
      <c r="C1155" s="2" t="str">
        <f t="shared" si="21"/>
        <v>décembre</v>
      </c>
      <c r="D1155" t="s">
        <v>19</v>
      </c>
      <c r="E1155" t="s">
        <v>1580</v>
      </c>
      <c r="F1155">
        <v>8</v>
      </c>
      <c r="G1155" t="s">
        <v>21</v>
      </c>
      <c r="H1155">
        <v>4.28</v>
      </c>
      <c r="I1155">
        <f>Table1[[#This Row],[Quantité corrigé]]*Table1[[#This Row],[Prix_Unitaire_HT]]</f>
        <v>34.24</v>
      </c>
    </row>
    <row r="1156" spans="1:9" x14ac:dyDescent="0.25">
      <c r="A1156" t="s">
        <v>1507</v>
      </c>
      <c r="B1156" t="s">
        <v>1503</v>
      </c>
      <c r="C1156" s="2" t="str">
        <f t="shared" si="21"/>
        <v>décembre</v>
      </c>
      <c r="D1156" t="s">
        <v>19</v>
      </c>
      <c r="E1156" t="s">
        <v>1581</v>
      </c>
      <c r="F1156">
        <v>6</v>
      </c>
      <c r="G1156" t="s">
        <v>25</v>
      </c>
      <c r="H1156">
        <v>22.63</v>
      </c>
      <c r="I1156">
        <f>Table1[[#This Row],[Quantité corrigé]]*Table1[[#This Row],[Prix_Unitaire_HT]]</f>
        <v>135.78</v>
      </c>
    </row>
    <row r="1157" spans="1:9" x14ac:dyDescent="0.25">
      <c r="A1157" t="s">
        <v>1508</v>
      </c>
      <c r="B1157" t="s">
        <v>1503</v>
      </c>
      <c r="C1157" s="2" t="str">
        <f t="shared" si="21"/>
        <v>décembre</v>
      </c>
      <c r="D1157" t="s">
        <v>19</v>
      </c>
      <c r="E1157" t="s">
        <v>1582</v>
      </c>
      <c r="F1157">
        <v>4</v>
      </c>
      <c r="G1157" t="s">
        <v>29</v>
      </c>
      <c r="H1157">
        <v>10.15</v>
      </c>
      <c r="I1157">
        <f>Table1[[#This Row],[Quantité corrigé]]*Table1[[#This Row],[Prix_Unitaire_HT]]</f>
        <v>40.6</v>
      </c>
    </row>
    <row r="1158" spans="1:9" x14ac:dyDescent="0.25">
      <c r="A1158" t="s">
        <v>1509</v>
      </c>
      <c r="B1158" t="s">
        <v>1510</v>
      </c>
      <c r="C1158" s="2" t="str">
        <f t="shared" si="21"/>
        <v>décembre</v>
      </c>
      <c r="D1158" t="s">
        <v>66</v>
      </c>
      <c r="E1158" t="s">
        <v>1583</v>
      </c>
      <c r="F1158">
        <v>10</v>
      </c>
      <c r="G1158" t="s">
        <v>17</v>
      </c>
      <c r="H1158">
        <v>9.18</v>
      </c>
      <c r="I1158">
        <f>Table1[[#This Row],[Quantité corrigé]]*Table1[[#This Row],[Prix_Unitaire_HT]]</f>
        <v>91.8</v>
      </c>
    </row>
    <row r="1159" spans="1:9" x14ac:dyDescent="0.25">
      <c r="A1159" t="s">
        <v>1511</v>
      </c>
      <c r="B1159" t="s">
        <v>1510</v>
      </c>
      <c r="C1159" s="2" t="str">
        <f t="shared" si="21"/>
        <v>décembre</v>
      </c>
      <c r="D1159" t="s">
        <v>66</v>
      </c>
      <c r="E1159" t="s">
        <v>1584</v>
      </c>
      <c r="F1159">
        <v>8</v>
      </c>
      <c r="G1159" t="s">
        <v>17</v>
      </c>
      <c r="H1159">
        <v>7.57</v>
      </c>
      <c r="I1159">
        <f>Table1[[#This Row],[Quantité corrigé]]*Table1[[#This Row],[Prix_Unitaire_HT]]</f>
        <v>60.56</v>
      </c>
    </row>
    <row r="1160" spans="1:9" x14ac:dyDescent="0.25">
      <c r="A1160" t="s">
        <v>1512</v>
      </c>
      <c r="B1160" t="s">
        <v>1510</v>
      </c>
      <c r="C1160" s="2" t="str">
        <f t="shared" si="21"/>
        <v>décembre</v>
      </c>
      <c r="D1160" t="s">
        <v>69</v>
      </c>
      <c r="E1160" t="s">
        <v>1585</v>
      </c>
      <c r="F1160">
        <v>5</v>
      </c>
      <c r="G1160" t="s">
        <v>39</v>
      </c>
      <c r="H1160">
        <v>5.97</v>
      </c>
      <c r="I1160">
        <f>Table1[[#This Row],[Quantité corrigé]]*Table1[[#This Row],[Prix_Unitaire_HT]]</f>
        <v>29.849999999999998</v>
      </c>
    </row>
    <row r="1161" spans="1:9" x14ac:dyDescent="0.25">
      <c r="A1161" t="s">
        <v>1513</v>
      </c>
      <c r="B1161" t="s">
        <v>1510</v>
      </c>
      <c r="C1161" s="2" t="str">
        <f t="shared" si="21"/>
        <v>décembre</v>
      </c>
      <c r="D1161" t="s">
        <v>69</v>
      </c>
      <c r="E1161" t="s">
        <v>1586</v>
      </c>
      <c r="F1161">
        <v>8</v>
      </c>
      <c r="G1161" t="s">
        <v>43</v>
      </c>
      <c r="H1161">
        <v>3.85</v>
      </c>
      <c r="I1161">
        <f>Table1[[#This Row],[Quantité corrigé]]*Table1[[#This Row],[Prix_Unitaire_HT]]</f>
        <v>30.8</v>
      </c>
    </row>
    <row r="1162" spans="1:9" x14ac:dyDescent="0.25">
      <c r="A1162" t="s">
        <v>1514</v>
      </c>
      <c r="B1162" t="s">
        <v>1515</v>
      </c>
      <c r="C1162" s="2" t="str">
        <f t="shared" si="21"/>
        <v>décembre</v>
      </c>
      <c r="D1162" t="s">
        <v>19</v>
      </c>
      <c r="E1162" t="s">
        <v>1580</v>
      </c>
      <c r="F1162">
        <v>6</v>
      </c>
      <c r="G1162" t="s">
        <v>21</v>
      </c>
      <c r="H1162">
        <v>4.0999999999999996</v>
      </c>
      <c r="I1162">
        <f>Table1[[#This Row],[Quantité corrigé]]*Table1[[#This Row],[Prix_Unitaire_HT]]</f>
        <v>24.599999999999998</v>
      </c>
    </row>
    <row r="1163" spans="1:9" x14ac:dyDescent="0.25">
      <c r="A1163" t="s">
        <v>1516</v>
      </c>
      <c r="B1163" t="s">
        <v>1515</v>
      </c>
      <c r="C1163" s="2" t="str">
        <f t="shared" si="21"/>
        <v>décembre</v>
      </c>
      <c r="D1163" t="s">
        <v>19</v>
      </c>
      <c r="E1163" t="s">
        <v>1581</v>
      </c>
      <c r="F1163">
        <v>10</v>
      </c>
      <c r="G1163" t="s">
        <v>25</v>
      </c>
      <c r="H1163">
        <v>22.5</v>
      </c>
      <c r="I1163">
        <f>Table1[[#This Row],[Quantité corrigé]]*Table1[[#This Row],[Prix_Unitaire_HT]]</f>
        <v>225</v>
      </c>
    </row>
    <row r="1164" spans="1:9" x14ac:dyDescent="0.25">
      <c r="A1164" t="s">
        <v>1517</v>
      </c>
      <c r="B1164" t="s">
        <v>1515</v>
      </c>
      <c r="C1164" s="2" t="str">
        <f t="shared" si="21"/>
        <v>décembre</v>
      </c>
      <c r="D1164" t="s">
        <v>19</v>
      </c>
      <c r="E1164" t="s">
        <v>1582</v>
      </c>
      <c r="F1164">
        <v>10</v>
      </c>
      <c r="G1164" t="s">
        <v>29</v>
      </c>
      <c r="H1164">
        <v>10.17</v>
      </c>
      <c r="I1164">
        <f>Table1[[#This Row],[Quantité corrigé]]*Table1[[#This Row],[Prix_Unitaire_HT]]</f>
        <v>101.7</v>
      </c>
    </row>
    <row r="1165" spans="1:9" x14ac:dyDescent="0.25">
      <c r="A1165" t="s">
        <v>1518</v>
      </c>
      <c r="B1165" t="s">
        <v>1515</v>
      </c>
      <c r="C1165" s="2" t="str">
        <f t="shared" si="21"/>
        <v>décembre</v>
      </c>
      <c r="D1165" t="s">
        <v>50</v>
      </c>
      <c r="E1165" t="s">
        <v>1587</v>
      </c>
      <c r="F1165">
        <v>4</v>
      </c>
      <c r="G1165" t="s">
        <v>52</v>
      </c>
      <c r="H1165">
        <v>19.079999999999998</v>
      </c>
      <c r="I1165">
        <f>Table1[[#This Row],[Quantité corrigé]]*Table1[[#This Row],[Prix_Unitaire_HT]]</f>
        <v>76.319999999999993</v>
      </c>
    </row>
    <row r="1166" spans="1:9" x14ac:dyDescent="0.25">
      <c r="A1166" t="s">
        <v>1519</v>
      </c>
      <c r="B1166" t="s">
        <v>1515</v>
      </c>
      <c r="C1166" s="2" t="str">
        <f t="shared" si="21"/>
        <v>décembre</v>
      </c>
      <c r="D1166" t="s">
        <v>195</v>
      </c>
      <c r="E1166" t="s">
        <v>1588</v>
      </c>
      <c r="F1166">
        <v>10</v>
      </c>
      <c r="G1166" t="s">
        <v>17</v>
      </c>
      <c r="H1166">
        <v>9.3000000000000007</v>
      </c>
      <c r="I1166">
        <f>Table1[[#This Row],[Quantité corrigé]]*Table1[[#This Row],[Prix_Unitaire_HT]]</f>
        <v>93</v>
      </c>
    </row>
    <row r="1167" spans="1:9" x14ac:dyDescent="0.25">
      <c r="A1167" t="s">
        <v>1520</v>
      </c>
      <c r="B1167" t="s">
        <v>1521</v>
      </c>
      <c r="C1167" s="2" t="str">
        <f t="shared" si="21"/>
        <v>décembre</v>
      </c>
      <c r="D1167" t="s">
        <v>61</v>
      </c>
      <c r="E1167" t="s">
        <v>1577</v>
      </c>
      <c r="F1167">
        <v>5</v>
      </c>
      <c r="G1167" t="s">
        <v>11</v>
      </c>
      <c r="H1167">
        <v>15.06</v>
      </c>
      <c r="I1167">
        <f>Table1[[#This Row],[Quantité corrigé]]*Table1[[#This Row],[Prix_Unitaire_HT]]</f>
        <v>75.3</v>
      </c>
    </row>
    <row r="1168" spans="1:9" x14ac:dyDescent="0.25">
      <c r="A1168" t="s">
        <v>1522</v>
      </c>
      <c r="B1168" t="s">
        <v>1521</v>
      </c>
      <c r="C1168" s="2" t="str">
        <f t="shared" si="21"/>
        <v>décembre</v>
      </c>
      <c r="D1168" t="s">
        <v>61</v>
      </c>
      <c r="E1168" t="s">
        <v>1578</v>
      </c>
      <c r="F1168">
        <v>5</v>
      </c>
      <c r="G1168" t="s">
        <v>11</v>
      </c>
      <c r="H1168">
        <v>13.53</v>
      </c>
      <c r="I1168">
        <f>Table1[[#This Row],[Quantité corrigé]]*Table1[[#This Row],[Prix_Unitaire_HT]]</f>
        <v>67.649999999999991</v>
      </c>
    </row>
    <row r="1169" spans="1:9" x14ac:dyDescent="0.25">
      <c r="A1169" t="s">
        <v>1523</v>
      </c>
      <c r="B1169" t="s">
        <v>1521</v>
      </c>
      <c r="C1169" s="2" t="str">
        <f t="shared" si="21"/>
        <v>décembre</v>
      </c>
      <c r="D1169" t="s">
        <v>61</v>
      </c>
      <c r="E1169" t="s">
        <v>1579</v>
      </c>
      <c r="F1169">
        <v>6</v>
      </c>
      <c r="G1169" t="s">
        <v>17</v>
      </c>
      <c r="H1169">
        <v>1.25</v>
      </c>
      <c r="I1169">
        <f>Table1[[#This Row],[Quantité corrigé]]*Table1[[#This Row],[Prix_Unitaire_HT]]</f>
        <v>7.5</v>
      </c>
    </row>
    <row r="1170" spans="1:9" x14ac:dyDescent="0.25">
      <c r="A1170" t="s">
        <v>1524</v>
      </c>
      <c r="B1170" t="s">
        <v>1525</v>
      </c>
      <c r="C1170" s="2" t="str">
        <f t="shared" si="21"/>
        <v>décembre</v>
      </c>
      <c r="D1170" t="s">
        <v>66</v>
      </c>
      <c r="E1170" t="s">
        <v>1583</v>
      </c>
      <c r="F1170">
        <v>10</v>
      </c>
      <c r="G1170" t="s">
        <v>17</v>
      </c>
      <c r="H1170">
        <v>9.18</v>
      </c>
      <c r="I1170">
        <f>Table1[[#This Row],[Quantité corrigé]]*Table1[[#This Row],[Prix_Unitaire_HT]]</f>
        <v>91.8</v>
      </c>
    </row>
    <row r="1171" spans="1:9" x14ac:dyDescent="0.25">
      <c r="A1171" t="s">
        <v>1526</v>
      </c>
      <c r="B1171" t="s">
        <v>1525</v>
      </c>
      <c r="C1171" s="2" t="str">
        <f t="shared" si="21"/>
        <v>décembre</v>
      </c>
      <c r="D1171" t="s">
        <v>66</v>
      </c>
      <c r="E1171" t="s">
        <v>1584</v>
      </c>
      <c r="F1171">
        <v>5</v>
      </c>
      <c r="G1171" t="s">
        <v>17</v>
      </c>
      <c r="H1171">
        <v>6.62</v>
      </c>
      <c r="I1171">
        <f>Table1[[#This Row],[Quantité corrigé]]*Table1[[#This Row],[Prix_Unitaire_HT]]</f>
        <v>33.1</v>
      </c>
    </row>
    <row r="1172" spans="1:9" x14ac:dyDescent="0.25">
      <c r="A1172" t="s">
        <v>1527</v>
      </c>
      <c r="B1172" t="s">
        <v>1525</v>
      </c>
      <c r="C1172" s="2" t="str">
        <f t="shared" si="21"/>
        <v>décembre</v>
      </c>
      <c r="D1172" t="s">
        <v>69</v>
      </c>
      <c r="E1172" t="s">
        <v>1585</v>
      </c>
      <c r="F1172">
        <v>12</v>
      </c>
      <c r="G1172" t="s">
        <v>39</v>
      </c>
      <c r="H1172">
        <v>5.86</v>
      </c>
      <c r="I1172">
        <f>Table1[[#This Row],[Quantité corrigé]]*Table1[[#This Row],[Prix_Unitaire_HT]]</f>
        <v>70.320000000000007</v>
      </c>
    </row>
    <row r="1173" spans="1:9" x14ac:dyDescent="0.25">
      <c r="A1173" t="s">
        <v>1528</v>
      </c>
      <c r="B1173" t="s">
        <v>1525</v>
      </c>
      <c r="C1173" s="2" t="str">
        <f t="shared" si="21"/>
        <v>décembre</v>
      </c>
      <c r="D1173" t="s">
        <v>69</v>
      </c>
      <c r="E1173" t="s">
        <v>1586</v>
      </c>
      <c r="F1173">
        <v>10</v>
      </c>
      <c r="G1173" t="s">
        <v>43</v>
      </c>
      <c r="H1173">
        <v>3.87</v>
      </c>
      <c r="I1173">
        <f>Table1[[#This Row],[Quantité corrigé]]*Table1[[#This Row],[Prix_Unitaire_HT]]</f>
        <v>38.700000000000003</v>
      </c>
    </row>
    <row r="1174" spans="1:9" x14ac:dyDescent="0.25">
      <c r="A1174" t="s">
        <v>1529</v>
      </c>
      <c r="B1174" t="s">
        <v>1530</v>
      </c>
      <c r="C1174" s="2" t="str">
        <f t="shared" si="21"/>
        <v>décembre</v>
      </c>
      <c r="D1174" t="s">
        <v>195</v>
      </c>
      <c r="E1174" t="s">
        <v>1588</v>
      </c>
      <c r="F1174">
        <v>6</v>
      </c>
      <c r="G1174" t="s">
        <v>17</v>
      </c>
      <c r="H1174">
        <v>9.67</v>
      </c>
      <c r="I1174">
        <f>Table1[[#This Row],[Quantité corrigé]]*Table1[[#This Row],[Prix_Unitaire_HT]]</f>
        <v>58.019999999999996</v>
      </c>
    </row>
    <row r="1175" spans="1:9" x14ac:dyDescent="0.25">
      <c r="A1175" t="s">
        <v>1531</v>
      </c>
      <c r="B1175" t="s">
        <v>1532</v>
      </c>
      <c r="C1175" s="2" t="str">
        <f t="shared" si="21"/>
        <v>décembre</v>
      </c>
      <c r="D1175" t="s">
        <v>61</v>
      </c>
      <c r="E1175" t="s">
        <v>1577</v>
      </c>
      <c r="F1175">
        <v>5</v>
      </c>
      <c r="G1175" t="s">
        <v>11</v>
      </c>
      <c r="H1175">
        <v>14.17</v>
      </c>
      <c r="I1175">
        <f>Table1[[#This Row],[Quantité corrigé]]*Table1[[#This Row],[Prix_Unitaire_HT]]</f>
        <v>70.849999999999994</v>
      </c>
    </row>
    <row r="1176" spans="1:9" x14ac:dyDescent="0.25">
      <c r="A1176" t="s">
        <v>1533</v>
      </c>
      <c r="B1176" t="s">
        <v>1532</v>
      </c>
      <c r="C1176" s="2" t="str">
        <f t="shared" si="21"/>
        <v>décembre</v>
      </c>
      <c r="D1176" t="s">
        <v>61</v>
      </c>
      <c r="E1176" t="s">
        <v>1578</v>
      </c>
      <c r="F1176">
        <v>4</v>
      </c>
      <c r="G1176" t="s">
        <v>11</v>
      </c>
      <c r="H1176">
        <v>13.08</v>
      </c>
      <c r="I1176">
        <f>Table1[[#This Row],[Quantité corrigé]]*Table1[[#This Row],[Prix_Unitaire_HT]]</f>
        <v>52.32</v>
      </c>
    </row>
    <row r="1177" spans="1:9" x14ac:dyDescent="0.25">
      <c r="A1177" t="s">
        <v>1534</v>
      </c>
      <c r="B1177" t="s">
        <v>1532</v>
      </c>
      <c r="C1177" s="2" t="str">
        <f t="shared" si="21"/>
        <v>décembre</v>
      </c>
      <c r="D1177" t="s">
        <v>61</v>
      </c>
      <c r="E1177" t="s">
        <v>1579</v>
      </c>
      <c r="F1177">
        <v>6</v>
      </c>
      <c r="G1177" t="s">
        <v>17</v>
      </c>
      <c r="H1177">
        <v>1.23</v>
      </c>
      <c r="I1177">
        <f>Table1[[#This Row],[Quantité corrigé]]*Table1[[#This Row],[Prix_Unitaire_HT]]</f>
        <v>7.38</v>
      </c>
    </row>
    <row r="1178" spans="1:9" x14ac:dyDescent="0.25">
      <c r="A1178" t="s">
        <v>1535</v>
      </c>
      <c r="B1178" t="s">
        <v>1532</v>
      </c>
      <c r="C1178" s="2" t="str">
        <f t="shared" si="21"/>
        <v>décembre</v>
      </c>
      <c r="D1178" t="s">
        <v>19</v>
      </c>
      <c r="E1178" t="s">
        <v>1580</v>
      </c>
      <c r="F1178">
        <v>10</v>
      </c>
      <c r="G1178" t="s">
        <v>21</v>
      </c>
      <c r="H1178">
        <v>4.3899999999999997</v>
      </c>
      <c r="I1178">
        <f>Table1[[#This Row],[Quantité corrigé]]*Table1[[#This Row],[Prix_Unitaire_HT]]</f>
        <v>43.9</v>
      </c>
    </row>
    <row r="1179" spans="1:9" x14ac:dyDescent="0.25">
      <c r="A1179" t="s">
        <v>1536</v>
      </c>
      <c r="B1179" t="s">
        <v>1532</v>
      </c>
      <c r="C1179" s="2" t="str">
        <f t="shared" si="21"/>
        <v>décembre</v>
      </c>
      <c r="D1179" t="s">
        <v>19</v>
      </c>
      <c r="E1179" t="s">
        <v>1581</v>
      </c>
      <c r="F1179">
        <v>8</v>
      </c>
      <c r="G1179" t="s">
        <v>25</v>
      </c>
      <c r="H1179">
        <v>22.6</v>
      </c>
      <c r="I1179">
        <f>Table1[[#This Row],[Quantité corrigé]]*Table1[[#This Row],[Prix_Unitaire_HT]]</f>
        <v>180.8</v>
      </c>
    </row>
    <row r="1180" spans="1:9" x14ac:dyDescent="0.25">
      <c r="A1180" t="s">
        <v>1537</v>
      </c>
      <c r="B1180" t="s">
        <v>1532</v>
      </c>
      <c r="C1180" s="2" t="str">
        <f t="shared" si="21"/>
        <v>décembre</v>
      </c>
      <c r="D1180" t="s">
        <v>19</v>
      </c>
      <c r="E1180" t="s">
        <v>1582</v>
      </c>
      <c r="F1180">
        <v>4</v>
      </c>
      <c r="G1180" t="s">
        <v>29</v>
      </c>
      <c r="H1180">
        <v>9.41</v>
      </c>
      <c r="I1180">
        <f>Table1[[#This Row],[Quantité corrigé]]*Table1[[#This Row],[Prix_Unitaire_HT]]</f>
        <v>37.64</v>
      </c>
    </row>
    <row r="1181" spans="1:9" x14ac:dyDescent="0.25">
      <c r="A1181" t="s">
        <v>1538</v>
      </c>
      <c r="B1181" t="s">
        <v>1539</v>
      </c>
      <c r="C1181" s="2" t="str">
        <f t="shared" si="21"/>
        <v>décembre</v>
      </c>
      <c r="D1181" t="s">
        <v>66</v>
      </c>
      <c r="E1181" t="s">
        <v>1583</v>
      </c>
      <c r="F1181">
        <v>10</v>
      </c>
      <c r="G1181" t="s">
        <v>17</v>
      </c>
      <c r="H1181">
        <v>9.15</v>
      </c>
      <c r="I1181">
        <f>Table1[[#This Row],[Quantité corrigé]]*Table1[[#This Row],[Prix_Unitaire_HT]]</f>
        <v>91.5</v>
      </c>
    </row>
    <row r="1182" spans="1:9" x14ac:dyDescent="0.25">
      <c r="A1182" t="s">
        <v>1540</v>
      </c>
      <c r="B1182" t="s">
        <v>1539</v>
      </c>
      <c r="C1182" s="2" t="str">
        <f t="shared" si="21"/>
        <v>décembre</v>
      </c>
      <c r="D1182" t="s">
        <v>66</v>
      </c>
      <c r="E1182" t="s">
        <v>1584</v>
      </c>
      <c r="F1182">
        <v>6</v>
      </c>
      <c r="G1182" t="s">
        <v>17</v>
      </c>
      <c r="H1182">
        <v>7.63</v>
      </c>
      <c r="I1182">
        <f>Table1[[#This Row],[Quantité corrigé]]*Table1[[#This Row],[Prix_Unitaire_HT]]</f>
        <v>45.78</v>
      </c>
    </row>
    <row r="1183" spans="1:9" x14ac:dyDescent="0.25">
      <c r="A1183" t="s">
        <v>1541</v>
      </c>
      <c r="B1183" t="s">
        <v>1539</v>
      </c>
      <c r="C1183" s="2" t="str">
        <f t="shared" si="21"/>
        <v>décembre</v>
      </c>
      <c r="D1183" t="s">
        <v>69</v>
      </c>
      <c r="E1183" t="s">
        <v>1585</v>
      </c>
      <c r="F1183">
        <v>12</v>
      </c>
      <c r="G1183" t="s">
        <v>39</v>
      </c>
      <c r="H1183">
        <v>5.9</v>
      </c>
      <c r="I1183">
        <f>Table1[[#This Row],[Quantité corrigé]]*Table1[[#This Row],[Prix_Unitaire_HT]]</f>
        <v>70.800000000000011</v>
      </c>
    </row>
    <row r="1184" spans="1:9" x14ac:dyDescent="0.25">
      <c r="A1184" t="s">
        <v>1542</v>
      </c>
      <c r="B1184" t="s">
        <v>1539</v>
      </c>
      <c r="C1184" s="2" t="str">
        <f t="shared" si="21"/>
        <v>décembre</v>
      </c>
      <c r="D1184" t="s">
        <v>69</v>
      </c>
      <c r="E1184" t="s">
        <v>1586</v>
      </c>
      <c r="F1184">
        <v>8</v>
      </c>
      <c r="G1184" t="s">
        <v>43</v>
      </c>
      <c r="H1184">
        <v>3.9</v>
      </c>
      <c r="I1184">
        <f>Table1[[#This Row],[Quantité corrigé]]*Table1[[#This Row],[Prix_Unitaire_HT]]</f>
        <v>31.2</v>
      </c>
    </row>
    <row r="1185" spans="1:9" x14ac:dyDescent="0.25">
      <c r="A1185" t="s">
        <v>1543</v>
      </c>
      <c r="B1185" t="s">
        <v>1544</v>
      </c>
      <c r="C1185" s="2" t="str">
        <f t="shared" si="21"/>
        <v>décembre</v>
      </c>
      <c r="D1185" t="s">
        <v>19</v>
      </c>
      <c r="E1185" t="s">
        <v>1580</v>
      </c>
      <c r="F1185">
        <v>10</v>
      </c>
      <c r="G1185" t="s">
        <v>21</v>
      </c>
      <c r="H1185">
        <v>4.07</v>
      </c>
      <c r="I1185">
        <f>Table1[[#This Row],[Quantité corrigé]]*Table1[[#This Row],[Prix_Unitaire_HT]]</f>
        <v>40.700000000000003</v>
      </c>
    </row>
    <row r="1186" spans="1:9" x14ac:dyDescent="0.25">
      <c r="A1186" t="s">
        <v>1545</v>
      </c>
      <c r="B1186" t="s">
        <v>1544</v>
      </c>
      <c r="C1186" s="2" t="str">
        <f t="shared" si="21"/>
        <v>décembre</v>
      </c>
      <c r="D1186" t="s">
        <v>19</v>
      </c>
      <c r="E1186" t="s">
        <v>1581</v>
      </c>
      <c r="F1186">
        <v>8</v>
      </c>
      <c r="G1186" t="s">
        <v>25</v>
      </c>
      <c r="H1186">
        <v>21.54</v>
      </c>
      <c r="I1186">
        <f>Table1[[#This Row],[Quantité corrigé]]*Table1[[#This Row],[Prix_Unitaire_HT]]</f>
        <v>172.32</v>
      </c>
    </row>
    <row r="1187" spans="1:9" x14ac:dyDescent="0.25">
      <c r="A1187" t="s">
        <v>1546</v>
      </c>
      <c r="B1187" t="s">
        <v>1544</v>
      </c>
      <c r="C1187" s="2" t="str">
        <f t="shared" si="21"/>
        <v>décembre</v>
      </c>
      <c r="D1187" t="s">
        <v>19</v>
      </c>
      <c r="E1187" t="s">
        <v>1582</v>
      </c>
      <c r="F1187">
        <v>4</v>
      </c>
      <c r="G1187" t="s">
        <v>29</v>
      </c>
      <c r="H1187">
        <v>9.48</v>
      </c>
      <c r="I1187">
        <f>Table1[[#This Row],[Quantité corrigé]]*Table1[[#This Row],[Prix_Unitaire_HT]]</f>
        <v>37.92</v>
      </c>
    </row>
    <row r="1188" spans="1:9" x14ac:dyDescent="0.25">
      <c r="A1188" t="s">
        <v>1547</v>
      </c>
      <c r="B1188" t="s">
        <v>1544</v>
      </c>
      <c r="C1188" s="2" t="str">
        <f t="shared" si="21"/>
        <v>décembre</v>
      </c>
      <c r="D1188" t="s">
        <v>50</v>
      </c>
      <c r="E1188" t="s">
        <v>1587</v>
      </c>
      <c r="F1188">
        <v>3</v>
      </c>
      <c r="G1188" t="s">
        <v>52</v>
      </c>
      <c r="H1188">
        <v>18.670000000000002</v>
      </c>
      <c r="I1188">
        <f>Table1[[#This Row],[Quantité corrigé]]*Table1[[#This Row],[Prix_Unitaire_HT]]</f>
        <v>56.010000000000005</v>
      </c>
    </row>
    <row r="1189" spans="1:9" x14ac:dyDescent="0.25">
      <c r="A1189" t="s">
        <v>1548</v>
      </c>
      <c r="B1189" t="s">
        <v>1544</v>
      </c>
      <c r="C1189" s="2" t="str">
        <f t="shared" si="21"/>
        <v>décembre</v>
      </c>
      <c r="D1189" t="s">
        <v>195</v>
      </c>
      <c r="E1189" t="s">
        <v>1588</v>
      </c>
      <c r="F1189">
        <v>6</v>
      </c>
      <c r="G1189" t="s">
        <v>17</v>
      </c>
      <c r="H1189">
        <v>9.4700000000000006</v>
      </c>
      <c r="I1189">
        <f>Table1[[#This Row],[Quantité corrigé]]*Table1[[#This Row],[Prix_Unitaire_HT]]</f>
        <v>56.820000000000007</v>
      </c>
    </row>
    <row r="1190" spans="1:9" x14ac:dyDescent="0.25">
      <c r="A1190" t="s">
        <v>1549</v>
      </c>
      <c r="B1190" t="s">
        <v>1550</v>
      </c>
      <c r="C1190" s="2" t="str">
        <f t="shared" si="21"/>
        <v>décembre</v>
      </c>
      <c r="D1190" t="s">
        <v>61</v>
      </c>
      <c r="E1190" t="s">
        <v>1577</v>
      </c>
      <c r="F1190">
        <v>4</v>
      </c>
      <c r="G1190" t="s">
        <v>11</v>
      </c>
      <c r="H1190">
        <v>14.6</v>
      </c>
      <c r="I1190">
        <f>Table1[[#This Row],[Quantité corrigé]]*Table1[[#This Row],[Prix_Unitaire_HT]]</f>
        <v>58.4</v>
      </c>
    </row>
    <row r="1191" spans="1:9" x14ac:dyDescent="0.25">
      <c r="A1191" t="s">
        <v>1551</v>
      </c>
      <c r="B1191" t="s">
        <v>1550</v>
      </c>
      <c r="C1191" s="2" t="str">
        <f t="shared" si="21"/>
        <v>décembre</v>
      </c>
      <c r="D1191" t="s">
        <v>61</v>
      </c>
      <c r="E1191" t="s">
        <v>1578</v>
      </c>
      <c r="F1191">
        <v>4</v>
      </c>
      <c r="G1191" t="s">
        <v>11</v>
      </c>
      <c r="H1191">
        <v>13.09</v>
      </c>
      <c r="I1191">
        <f>Table1[[#This Row],[Quantité corrigé]]*Table1[[#This Row],[Prix_Unitaire_HT]]</f>
        <v>52.36</v>
      </c>
    </row>
    <row r="1192" spans="1:9" x14ac:dyDescent="0.25">
      <c r="A1192" t="s">
        <v>1552</v>
      </c>
      <c r="B1192" t="s">
        <v>1550</v>
      </c>
      <c r="C1192" s="2" t="str">
        <f t="shared" si="21"/>
        <v>décembre</v>
      </c>
      <c r="D1192" t="s">
        <v>61</v>
      </c>
      <c r="E1192" t="s">
        <v>1579</v>
      </c>
      <c r="F1192">
        <v>5</v>
      </c>
      <c r="G1192" t="s">
        <v>17</v>
      </c>
      <c r="H1192">
        <v>1.24</v>
      </c>
      <c r="I1192">
        <f>Table1[[#This Row],[Quantité corrigé]]*Table1[[#This Row],[Prix_Unitaire_HT]]</f>
        <v>6.2</v>
      </c>
    </row>
    <row r="1193" spans="1:9" x14ac:dyDescent="0.25">
      <c r="A1193" t="s">
        <v>1553</v>
      </c>
      <c r="B1193" t="s">
        <v>1554</v>
      </c>
      <c r="C1193" s="2" t="str">
        <f t="shared" si="21"/>
        <v>décembre</v>
      </c>
      <c r="D1193" t="s">
        <v>66</v>
      </c>
      <c r="E1193" t="s">
        <v>1583</v>
      </c>
      <c r="F1193">
        <v>10</v>
      </c>
      <c r="G1193" t="s">
        <v>17</v>
      </c>
      <c r="H1193">
        <v>9.89</v>
      </c>
      <c r="I1193">
        <f>Table1[[#This Row],[Quantité corrigé]]*Table1[[#This Row],[Prix_Unitaire_HT]]</f>
        <v>98.9</v>
      </c>
    </row>
    <row r="1194" spans="1:9" x14ac:dyDescent="0.25">
      <c r="A1194" t="s">
        <v>1555</v>
      </c>
      <c r="B1194" t="s">
        <v>1554</v>
      </c>
      <c r="C1194" s="2" t="str">
        <f t="shared" si="21"/>
        <v>décembre</v>
      </c>
      <c r="D1194" t="s">
        <v>66</v>
      </c>
      <c r="E1194" t="s">
        <v>1584</v>
      </c>
      <c r="F1194">
        <v>12</v>
      </c>
      <c r="G1194" t="s">
        <v>17</v>
      </c>
      <c r="H1194">
        <v>6.99</v>
      </c>
      <c r="I1194">
        <f>Table1[[#This Row],[Quantité corrigé]]*Table1[[#This Row],[Prix_Unitaire_HT]]</f>
        <v>83.88</v>
      </c>
    </row>
    <row r="1195" spans="1:9" x14ac:dyDescent="0.25">
      <c r="A1195" t="s">
        <v>1556</v>
      </c>
      <c r="B1195" t="s">
        <v>1554</v>
      </c>
      <c r="C1195" s="2" t="str">
        <f t="shared" si="21"/>
        <v>décembre</v>
      </c>
      <c r="D1195" t="s">
        <v>69</v>
      </c>
      <c r="E1195" t="s">
        <v>1585</v>
      </c>
      <c r="F1195">
        <v>10</v>
      </c>
      <c r="G1195" t="s">
        <v>39</v>
      </c>
      <c r="H1195">
        <v>5.74</v>
      </c>
      <c r="I1195">
        <f>Table1[[#This Row],[Quantité corrigé]]*Table1[[#This Row],[Prix_Unitaire_HT]]</f>
        <v>57.400000000000006</v>
      </c>
    </row>
    <row r="1196" spans="1:9" x14ac:dyDescent="0.25">
      <c r="A1196" t="s">
        <v>1557</v>
      </c>
      <c r="B1196" t="s">
        <v>1554</v>
      </c>
      <c r="C1196" s="2" t="str">
        <f t="shared" si="21"/>
        <v>décembre</v>
      </c>
      <c r="D1196" t="s">
        <v>69</v>
      </c>
      <c r="E1196" t="s">
        <v>1586</v>
      </c>
      <c r="F1196">
        <v>12</v>
      </c>
      <c r="G1196" t="s">
        <v>43</v>
      </c>
      <c r="H1196">
        <v>3.97</v>
      </c>
      <c r="I1196">
        <f>Table1[[#This Row],[Quantité corrigé]]*Table1[[#This Row],[Prix_Unitaire_HT]]</f>
        <v>47.64</v>
      </c>
    </row>
    <row r="1197" spans="1:9" x14ac:dyDescent="0.25">
      <c r="A1197" t="s">
        <v>1558</v>
      </c>
      <c r="B1197" t="s">
        <v>1559</v>
      </c>
      <c r="C1197" s="2" t="str">
        <f t="shared" si="21"/>
        <v>décembre</v>
      </c>
      <c r="D1197" t="s">
        <v>195</v>
      </c>
      <c r="E1197" t="s">
        <v>1588</v>
      </c>
      <c r="F1197">
        <v>8</v>
      </c>
      <c r="G1197" t="s">
        <v>17</v>
      </c>
      <c r="H1197">
        <v>8.65</v>
      </c>
      <c r="I1197">
        <f>Table1[[#This Row],[Quantité corrigé]]*Table1[[#This Row],[Prix_Unitaire_HT]]</f>
        <v>69.2</v>
      </c>
    </row>
    <row r="1198" spans="1:9" x14ac:dyDescent="0.25">
      <c r="A1198" t="s">
        <v>1560</v>
      </c>
      <c r="B1198" t="s">
        <v>1561</v>
      </c>
      <c r="C1198" s="2" t="str">
        <f t="shared" si="21"/>
        <v>décembre</v>
      </c>
      <c r="D1198" t="s">
        <v>61</v>
      </c>
      <c r="E1198" t="s">
        <v>1577</v>
      </c>
      <c r="F1198">
        <v>3</v>
      </c>
      <c r="G1198" t="s">
        <v>11</v>
      </c>
      <c r="H1198">
        <v>14.93</v>
      </c>
      <c r="I1198">
        <f>Table1[[#This Row],[Quantité corrigé]]*Table1[[#This Row],[Prix_Unitaire_HT]]</f>
        <v>44.79</v>
      </c>
    </row>
    <row r="1199" spans="1:9" x14ac:dyDescent="0.25">
      <c r="A1199" t="s">
        <v>1562</v>
      </c>
      <c r="B1199" t="s">
        <v>1561</v>
      </c>
      <c r="C1199" s="2" t="str">
        <f t="shared" si="21"/>
        <v>décembre</v>
      </c>
      <c r="D1199" t="s">
        <v>61</v>
      </c>
      <c r="E1199" t="s">
        <v>1578</v>
      </c>
      <c r="F1199">
        <v>4</v>
      </c>
      <c r="G1199" t="s">
        <v>11</v>
      </c>
      <c r="H1199">
        <v>13.84</v>
      </c>
      <c r="I1199">
        <f>Table1[[#This Row],[Quantité corrigé]]*Table1[[#This Row],[Prix_Unitaire_HT]]</f>
        <v>55.36</v>
      </c>
    </row>
    <row r="1200" spans="1:9" x14ac:dyDescent="0.25">
      <c r="A1200" t="s">
        <v>1563</v>
      </c>
      <c r="B1200" t="s">
        <v>1561</v>
      </c>
      <c r="C1200" s="2" t="str">
        <f t="shared" si="21"/>
        <v>décembre</v>
      </c>
      <c r="D1200" t="s">
        <v>61</v>
      </c>
      <c r="E1200" t="s">
        <v>1579</v>
      </c>
      <c r="F1200">
        <v>5</v>
      </c>
      <c r="G1200" t="s">
        <v>17</v>
      </c>
      <c r="H1200">
        <v>1.24</v>
      </c>
      <c r="I1200">
        <f>Table1[[#This Row],[Quantité corrigé]]*Table1[[#This Row],[Prix_Unitaire_HT]]</f>
        <v>6.2</v>
      </c>
    </row>
    <row r="1201" spans="1:9" x14ac:dyDescent="0.25">
      <c r="A1201" t="s">
        <v>1564</v>
      </c>
      <c r="B1201" t="s">
        <v>1561</v>
      </c>
      <c r="C1201" s="2" t="str">
        <f t="shared" si="21"/>
        <v>décembre</v>
      </c>
      <c r="D1201" t="s">
        <v>19</v>
      </c>
      <c r="E1201" t="s">
        <v>1580</v>
      </c>
      <c r="F1201">
        <v>8</v>
      </c>
      <c r="G1201" t="s">
        <v>21</v>
      </c>
      <c r="H1201">
        <v>4.25</v>
      </c>
      <c r="I1201">
        <f>Table1[[#This Row],[Quantité corrigé]]*Table1[[#This Row],[Prix_Unitaire_HT]]</f>
        <v>34</v>
      </c>
    </row>
    <row r="1202" spans="1:9" x14ac:dyDescent="0.25">
      <c r="A1202" t="s">
        <v>1565</v>
      </c>
      <c r="B1202" t="s">
        <v>1561</v>
      </c>
      <c r="C1202" s="2" t="str">
        <f t="shared" si="21"/>
        <v>décembre</v>
      </c>
      <c r="D1202" t="s">
        <v>19</v>
      </c>
      <c r="E1202" t="s">
        <v>1581</v>
      </c>
      <c r="F1202">
        <v>8</v>
      </c>
      <c r="G1202" t="s">
        <v>25</v>
      </c>
      <c r="H1202">
        <v>21.48</v>
      </c>
      <c r="I1202">
        <f>Table1[[#This Row],[Quantité corrigé]]*Table1[[#This Row],[Prix_Unitaire_HT]]</f>
        <v>171.84</v>
      </c>
    </row>
    <row r="1203" spans="1:9" x14ac:dyDescent="0.25">
      <c r="A1203" t="s">
        <v>1566</v>
      </c>
      <c r="B1203" t="s">
        <v>1561</v>
      </c>
      <c r="C1203" s="2" t="str">
        <f t="shared" si="21"/>
        <v>décembre</v>
      </c>
      <c r="D1203" t="s">
        <v>19</v>
      </c>
      <c r="E1203" t="s">
        <v>1582</v>
      </c>
      <c r="F1203">
        <v>4</v>
      </c>
      <c r="G1203" t="s">
        <v>29</v>
      </c>
      <c r="H1203">
        <v>10.199999999999999</v>
      </c>
      <c r="I1203">
        <f>Table1[[#This Row],[Quantité corrigé]]*Table1[[#This Row],[Prix_Unitaire_HT]]</f>
        <v>40.799999999999997</v>
      </c>
    </row>
    <row r="1204" spans="1:9" x14ac:dyDescent="0.25">
      <c r="A1204" t="s">
        <v>1567</v>
      </c>
      <c r="B1204" t="s">
        <v>1568</v>
      </c>
      <c r="C1204" s="2" t="str">
        <f t="shared" si="21"/>
        <v>décembre</v>
      </c>
      <c r="D1204" t="s">
        <v>66</v>
      </c>
      <c r="E1204" t="s">
        <v>1583</v>
      </c>
      <c r="F1204">
        <v>5</v>
      </c>
      <c r="G1204" t="s">
        <v>17</v>
      </c>
      <c r="H1204">
        <v>8.94</v>
      </c>
      <c r="I1204">
        <f>Table1[[#This Row],[Quantité corrigé]]*Table1[[#This Row],[Prix_Unitaire_HT]]</f>
        <v>44.699999999999996</v>
      </c>
    </row>
    <row r="1205" spans="1:9" x14ac:dyDescent="0.25">
      <c r="A1205" t="s">
        <v>1569</v>
      </c>
      <c r="B1205" t="s">
        <v>1568</v>
      </c>
      <c r="C1205" s="2" t="str">
        <f t="shared" si="21"/>
        <v>décembre</v>
      </c>
      <c r="D1205" t="s">
        <v>66</v>
      </c>
      <c r="E1205" t="s">
        <v>1584</v>
      </c>
      <c r="F1205">
        <v>5</v>
      </c>
      <c r="G1205" t="s">
        <v>17</v>
      </c>
      <c r="H1205">
        <v>6.69</v>
      </c>
      <c r="I1205">
        <f>Table1[[#This Row],[Quantité corrigé]]*Table1[[#This Row],[Prix_Unitaire_HT]]</f>
        <v>33.450000000000003</v>
      </c>
    </row>
    <row r="1206" spans="1:9" x14ac:dyDescent="0.25">
      <c r="A1206" t="s">
        <v>1570</v>
      </c>
      <c r="B1206" t="s">
        <v>1568</v>
      </c>
      <c r="C1206" s="2" t="str">
        <f t="shared" si="21"/>
        <v>décembre</v>
      </c>
      <c r="D1206" t="s">
        <v>69</v>
      </c>
      <c r="E1206" t="s">
        <v>1585</v>
      </c>
      <c r="F1206">
        <v>10</v>
      </c>
      <c r="G1206" t="s">
        <v>39</v>
      </c>
      <c r="H1206">
        <v>5.91</v>
      </c>
      <c r="I1206">
        <f>Table1[[#This Row],[Quantité corrigé]]*Table1[[#This Row],[Prix_Unitaire_HT]]</f>
        <v>59.1</v>
      </c>
    </row>
    <row r="1207" spans="1:9" x14ac:dyDescent="0.25">
      <c r="A1207" t="s">
        <v>1571</v>
      </c>
      <c r="B1207" t="s">
        <v>1568</v>
      </c>
      <c r="C1207" s="2" t="str">
        <f t="shared" si="21"/>
        <v>décembre</v>
      </c>
      <c r="D1207" t="s">
        <v>69</v>
      </c>
      <c r="E1207" t="s">
        <v>1586</v>
      </c>
      <c r="F1207">
        <v>12</v>
      </c>
      <c r="G1207" t="s">
        <v>43</v>
      </c>
      <c r="H1207">
        <v>3.89</v>
      </c>
      <c r="I1207">
        <f>Table1[[#This Row],[Quantité corrigé]]*Table1[[#This Row],[Prix_Unitaire_HT]]</f>
        <v>46.68</v>
      </c>
    </row>
  </sheetData>
  <conditionalFormatting sqref="O25">
    <cfRule type="duplicateValues" priority="1"/>
    <cfRule type="cellIs" dxfId="0" priority="2" operator="equal">
      <formula>$N$28</formula>
    </cfRule>
  </conditionalFormatting>
  <pageMargins left="0.7" right="0.7" top="0.75" bottom="0.75" header="0.511811023622047" footer="0.511811023622047"/>
  <pageSetup paperSize="9" orientation="portrait" horizontalDpi="300" verticalDpi="300"/>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992E-8F29-4AD8-A954-BA99851C8293}">
  <dimension ref="A3:C16"/>
  <sheetViews>
    <sheetView workbookViewId="0">
      <selection activeCell="A3" sqref="A3:C16"/>
    </sheetView>
  </sheetViews>
  <sheetFormatPr defaultRowHeight="15" x14ac:dyDescent="0.25"/>
  <cols>
    <col min="1" max="1" width="15.140625" bestFit="1" customWidth="1"/>
    <col min="2" max="2" width="22.28515625" bestFit="1" customWidth="1"/>
    <col min="3" max="3" width="12.5703125" bestFit="1" customWidth="1"/>
  </cols>
  <sheetData>
    <row r="3" spans="1:3" x14ac:dyDescent="0.25">
      <c r="B3" t="s">
        <v>1596</v>
      </c>
      <c r="C3" t="s">
        <v>1611</v>
      </c>
    </row>
    <row r="4" spans="1:3" x14ac:dyDescent="0.25">
      <c r="A4" s="4" t="s">
        <v>1578</v>
      </c>
      <c r="B4">
        <v>481</v>
      </c>
      <c r="C4">
        <v>6454.8499999999976</v>
      </c>
    </row>
    <row r="5" spans="1:3" x14ac:dyDescent="0.25">
      <c r="A5" s="4" t="s">
        <v>1577</v>
      </c>
      <c r="B5">
        <v>488</v>
      </c>
      <c r="C5">
        <v>7109.7</v>
      </c>
    </row>
    <row r="6" spans="1:3" x14ac:dyDescent="0.25">
      <c r="A6" s="4" t="s">
        <v>1587</v>
      </c>
      <c r="B6">
        <v>139</v>
      </c>
      <c r="C6">
        <v>2582.1500000000005</v>
      </c>
    </row>
    <row r="7" spans="1:3" x14ac:dyDescent="0.25">
      <c r="A7" s="4" t="s">
        <v>1581</v>
      </c>
      <c r="B7">
        <v>704</v>
      </c>
      <c r="C7">
        <v>15690.020000000002</v>
      </c>
    </row>
    <row r="8" spans="1:3" x14ac:dyDescent="0.25">
      <c r="A8" s="4" t="s">
        <v>1588</v>
      </c>
      <c r="B8">
        <v>740</v>
      </c>
      <c r="C8">
        <v>6669.8400000000029</v>
      </c>
    </row>
    <row r="9" spans="1:3" x14ac:dyDescent="0.25">
      <c r="A9" s="4" t="s">
        <v>1585</v>
      </c>
      <c r="B9">
        <v>908</v>
      </c>
      <c r="C9">
        <v>5338.2700000000013</v>
      </c>
    </row>
    <row r="10" spans="1:3" x14ac:dyDescent="0.25">
      <c r="A10" s="4" t="s">
        <v>1586</v>
      </c>
      <c r="B10">
        <v>977</v>
      </c>
      <c r="C10">
        <v>3853.8200000000006</v>
      </c>
    </row>
    <row r="11" spans="1:3" x14ac:dyDescent="0.25">
      <c r="A11" s="4" t="s">
        <v>1584</v>
      </c>
      <c r="B11">
        <v>839</v>
      </c>
      <c r="C11">
        <v>6043.3000000000029</v>
      </c>
    </row>
    <row r="12" spans="1:3" x14ac:dyDescent="0.25">
      <c r="A12" s="4" t="s">
        <v>1582</v>
      </c>
      <c r="B12">
        <v>712</v>
      </c>
      <c r="C12">
        <v>7098.96</v>
      </c>
    </row>
    <row r="13" spans="1:3" x14ac:dyDescent="0.25">
      <c r="A13" s="4" t="s">
        <v>1579</v>
      </c>
      <c r="B13">
        <v>462</v>
      </c>
      <c r="C13">
        <v>564.99999999999989</v>
      </c>
    </row>
    <row r="14" spans="1:3" x14ac:dyDescent="0.25">
      <c r="A14" s="4" t="s">
        <v>1580</v>
      </c>
      <c r="B14">
        <v>696</v>
      </c>
      <c r="C14">
        <v>2973.5799999999981</v>
      </c>
    </row>
    <row r="15" spans="1:3" x14ac:dyDescent="0.25">
      <c r="A15" s="4" t="s">
        <v>1583</v>
      </c>
      <c r="B15">
        <v>798</v>
      </c>
      <c r="C15">
        <v>7550.85</v>
      </c>
    </row>
    <row r="16" spans="1:3" x14ac:dyDescent="0.25">
      <c r="A16" s="4" t="s">
        <v>1595</v>
      </c>
      <c r="B16">
        <v>7944</v>
      </c>
      <c r="C16">
        <v>71930.340000000011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 (2)</vt:lpstr>
      <vt:lpstr>Final sheet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Elayad Madihali</cp:lastModifiedBy>
  <cp:revision>0</cp:revision>
  <dcterms:created xsi:type="dcterms:W3CDTF">2026-03-19T03:18:27Z</dcterms:created>
  <dcterms:modified xsi:type="dcterms:W3CDTF">2026-03-23T01:00:54Z</dcterms:modified>
  <dc:language>en-US</dc:language>
</cp:coreProperties>
</file>